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eap\Downloads\"/>
    </mc:Choice>
  </mc:AlternateContent>
  <xr:revisionPtr revIDLastSave="0" documentId="13_ncr:1_{276676DC-882F-4CF7-9749-51AF38E73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ITY_STATISTICS" sheetId="1" r:id="rId1"/>
    <sheet name="PREDICATE_STATISTICS" sheetId="2" r:id="rId2"/>
  </sheets>
  <definedNames>
    <definedName name="ExternalData_1" localSheetId="0">ENTITY_STATISTICS!$A$1:$B$25</definedName>
    <definedName name="ExternalData_10" localSheetId="0">ENTITY_STATISTICS!$K$1:$K$25</definedName>
    <definedName name="ExternalData_11" localSheetId="0">ENTITY_STATISTICS!$L$1:$L$25</definedName>
    <definedName name="ExternalData_12" localSheetId="0">ENTITY_STATISTICS!$M$1:$M$25</definedName>
    <definedName name="ExternalData_13" localSheetId="0">ENTITY_STATISTICS!$N$1:$N$25</definedName>
    <definedName name="ExternalData_14" localSheetId="0">ENTITY_STATISTICS!$O$1:$O$25</definedName>
    <definedName name="ExternalData_15" localSheetId="0">ENTITY_STATISTICS!$P$1:$P$25</definedName>
    <definedName name="ExternalData_16" localSheetId="0">ENTITY_STATISTICS!$Q$1:$Q$25</definedName>
    <definedName name="ExternalData_17" localSheetId="0">ENTITY_STATISTICS!$R$1:$R$25</definedName>
    <definedName name="ExternalData_18" localSheetId="0">ENTITY_STATISTICS!$S$1:$S$25</definedName>
    <definedName name="ExternalData_19" localSheetId="0">ENTITY_STATISTICS!$T$1:$T$25</definedName>
    <definedName name="ExternalData_2" localSheetId="0">ENTITY_STATISTICS!$C$1:$C$25</definedName>
    <definedName name="ExternalData_3" localSheetId="0">ENTITY_STATISTICS!$D$1:$D$25</definedName>
    <definedName name="ExternalData_4" localSheetId="0">ENTITY_STATISTICS!$E$1:$E$25</definedName>
    <definedName name="ExternalData_5" localSheetId="0">ENTITY_STATISTICS!$F$1:$F$25</definedName>
    <definedName name="ExternalData_6" localSheetId="0">ENTITY_STATISTICS!$G$1:$G$25</definedName>
    <definedName name="ExternalData_7" localSheetId="0">ENTITY_STATISTICS!$H$1:$H$25</definedName>
    <definedName name="ExternalData_8" localSheetId="0">ENTITY_STATISTICS!$I$1:$I$25</definedName>
    <definedName name="ExternalData_9" localSheetId="0">ENTITY_STATISTICS!$J$1:$J$25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3rwhggrKWuAFH3Smco0eNZVoMCtL0wbhAufvS5ESYA="/>
    </ext>
  </extLst>
</workbook>
</file>

<file path=xl/calcChain.xml><?xml version="1.0" encoding="utf-8"?>
<calcChain xmlns="http://schemas.openxmlformats.org/spreadsheetml/2006/main">
  <c r="D95" i="2" l="1"/>
  <c r="U193" i="1"/>
  <c r="V193" i="1" s="1"/>
  <c r="U192" i="1"/>
  <c r="V192" i="1" s="1"/>
  <c r="U191" i="1"/>
  <c r="U106" i="1"/>
  <c r="V106" i="1" s="1"/>
  <c r="V25" i="1"/>
  <c r="U25" i="1"/>
  <c r="U24" i="1"/>
  <c r="V24" i="1" s="1"/>
  <c r="U23" i="1"/>
  <c r="V23" i="1" s="1"/>
  <c r="U22" i="1"/>
  <c r="V22" i="1" s="1"/>
  <c r="U21" i="1"/>
  <c r="U20" i="1"/>
  <c r="U19" i="1"/>
  <c r="V19" i="1" s="1"/>
  <c r="U16" i="1"/>
  <c r="U14" i="1"/>
  <c r="V14" i="1" s="1"/>
  <c r="U13" i="1"/>
  <c r="U12" i="1"/>
  <c r="V12" i="1" s="1"/>
  <c r="U9" i="1"/>
  <c r="U8" i="1"/>
  <c r="V8" i="1" s="1"/>
  <c r="U7" i="1"/>
  <c r="U4" i="1"/>
  <c r="V4" i="1" s="1"/>
  <c r="U3" i="1"/>
  <c r="U2" i="1"/>
  <c r="V20" i="1" s="1"/>
  <c r="V16" i="1" l="1"/>
  <c r="V3" i="1"/>
  <c r="V9" i="1"/>
  <c r="V7" i="1"/>
  <c r="V13" i="1"/>
</calcChain>
</file>

<file path=xl/sharedStrings.xml><?xml version="1.0" encoding="utf-8"?>
<sst xmlns="http://schemas.openxmlformats.org/spreadsheetml/2006/main" count="409" uniqueCount="174">
  <si>
    <t>Type</t>
  </si>
  <si>
    <t>Airport</t>
  </si>
  <si>
    <t>Artist</t>
  </si>
  <si>
    <t>Astronaut</t>
  </si>
  <si>
    <t>Athlete</t>
  </si>
  <si>
    <t>Building</t>
  </si>
  <si>
    <t>CelectialBody</t>
  </si>
  <si>
    <t>City</t>
  </si>
  <si>
    <t>ComiCharacter</t>
  </si>
  <si>
    <t>Company</t>
  </si>
  <si>
    <t>Film</t>
  </si>
  <si>
    <t>Food</t>
  </si>
  <si>
    <t>MeansOfTransportation</t>
  </si>
  <si>
    <t>Monument</t>
  </si>
  <si>
    <t>MusicalWork</t>
  </si>
  <si>
    <t>Politician</t>
  </si>
  <si>
    <t>Scientist</t>
  </si>
  <si>
    <t>SportsTeam</t>
  </si>
  <si>
    <t>University</t>
  </si>
  <si>
    <t>WrittenWork</t>
  </si>
  <si>
    <t>Sum</t>
  </si>
  <si>
    <t>Percentage (%)</t>
  </si>
  <si>
    <t>All initial triples</t>
  </si>
  <si>
    <t>All different</t>
  </si>
  <si>
    <t>All same</t>
  </si>
  <si>
    <t/>
  </si>
  <si>
    <t>Subject changes</t>
  </si>
  <si>
    <t xml:space="preserve">  - URI changes</t>
  </si>
  <si>
    <t xml:space="preserve">  - Fact changes</t>
  </si>
  <si>
    <t xml:space="preserve">  - Redirects (label changed, URI same)</t>
  </si>
  <si>
    <t>Object changes</t>
  </si>
  <si>
    <t>Predicate changes</t>
  </si>
  <si>
    <t>Triple change combinations</t>
  </si>
  <si>
    <t xml:space="preserve">  - Only subject changed</t>
  </si>
  <si>
    <t xml:space="preserve">  - Subject and predicate changed</t>
  </si>
  <si>
    <t xml:space="preserve">  - Subject, predicate, and object changed</t>
  </si>
  <si>
    <t xml:space="preserve">  - Only predicate changed</t>
  </si>
  <si>
    <t xml:space="preserve">  - Predicate and object changed</t>
  </si>
  <si>
    <t xml:space="preserve">  - Only object changed</t>
  </si>
  <si>
    <t xml:space="preserve">  - Subject and object changed</t>
  </si>
  <si>
    <t>- Same</t>
  </si>
  <si>
    <t>- Only subject changed</t>
  </si>
  <si>
    <t>- Subject and predicate changed</t>
  </si>
  <si>
    <t>- Subject, predicate, and object changed</t>
  </si>
  <si>
    <t>- Only predicate changed</t>
  </si>
  <si>
    <t>- Predicate and object changed</t>
  </si>
  <si>
    <t>- Only object changed</t>
  </si>
  <si>
    <t>- Subject and object changed</t>
  </si>
  <si>
    <t>Number of triples</t>
  </si>
  <si>
    <t>Initial Predicate</t>
  </si>
  <si>
    <t>Modified Predicate</t>
  </si>
  <si>
    <t>Count</t>
  </si>
  <si>
    <t>operatingOrganisation</t>
  </si>
  <si>
    <t>operator</t>
  </si>
  <si>
    <t>elevationAboveTheSeaLevel</t>
  </si>
  <si>
    <t>elevation</t>
  </si>
  <si>
    <t>runwayName</t>
  </si>
  <si>
    <t>runwayDesignation</t>
  </si>
  <si>
    <t>city</t>
  </si>
  <si>
    <t>locationCity</t>
  </si>
  <si>
    <t>runwaySurfaceType</t>
  </si>
  <si>
    <t>runwaySurface</t>
  </si>
  <si>
    <t>transportAircraft</t>
  </si>
  <si>
    <t>aircraftTransport</t>
  </si>
  <si>
    <t>icaoLocationIdentifier</t>
  </si>
  <si>
    <t>icao</t>
  </si>
  <si>
    <t>professionalField</t>
  </si>
  <si>
    <t>field</t>
  </si>
  <si>
    <t>populationDensity</t>
  </si>
  <si>
    <t>populationDensityRank</t>
  </si>
  <si>
    <t>leader</t>
  </si>
  <si>
    <t>leaderName</t>
  </si>
  <si>
    <t>longName</t>
  </si>
  <si>
    <t>conventionalLongName</t>
  </si>
  <si>
    <t>foundingDate</t>
  </si>
  <si>
    <t>dateStart</t>
  </si>
  <si>
    <t>language</t>
  </si>
  <si>
    <t>officialLanguage</t>
  </si>
  <si>
    <t>meaning</t>
  </si>
  <si>
    <t>blankInfoSec</t>
  </si>
  <si>
    <t>musicFusionGenre</t>
  </si>
  <si>
    <t>stylisticOrigins</t>
  </si>
  <si>
    <t>areaTotal</t>
  </si>
  <si>
    <t>area</t>
  </si>
  <si>
    <t>isPartOf</t>
  </si>
  <si>
    <t>subdivision</t>
  </si>
  <si>
    <t>selectedByNasa</t>
  </si>
  <si>
    <t>selection</t>
  </si>
  <si>
    <t>dateOfRetirement</t>
  </si>
  <si>
    <t>dateOfRet</t>
  </si>
  <si>
    <t>youthclub</t>
  </si>
  <si>
    <t>youthclubs</t>
  </si>
  <si>
    <t>club</t>
  </si>
  <si>
    <t>team</t>
  </si>
  <si>
    <t>clubs</t>
  </si>
  <si>
    <t>currentclub</t>
  </si>
  <si>
    <t>debutTeam</t>
  </si>
  <si>
    <t>formerTeam</t>
  </si>
  <si>
    <t>birthYear</t>
  </si>
  <si>
    <t>birthDate</t>
  </si>
  <si>
    <t>activeYearsStartYear</t>
  </si>
  <si>
    <t>draftYear</t>
  </si>
  <si>
    <t>tenant</t>
  </si>
  <si>
    <t>currentTenants</t>
  </si>
  <si>
    <t>CelestialBody</t>
  </si>
  <si>
    <t>NO MODIFICATION</t>
  </si>
  <si>
    <t>populationMetro</t>
  </si>
  <si>
    <t>populationTotal</t>
  </si>
  <si>
    <t>ComicCharacter</t>
  </si>
  <si>
    <t xml:space="preserve">location </t>
  </si>
  <si>
    <t>foundingYear</t>
  </si>
  <si>
    <t>product</t>
  </si>
  <si>
    <t>products</t>
  </si>
  <si>
    <t>country</t>
  </si>
  <si>
    <t>areaServed</t>
  </si>
  <si>
    <t>foundationPlace</t>
  </si>
  <si>
    <t>foundation</t>
  </si>
  <si>
    <t>numberOfEmployees</t>
  </si>
  <si>
    <t>numEmployees</t>
  </si>
  <si>
    <t>operatingIncome</t>
  </si>
  <si>
    <t>assets</t>
  </si>
  <si>
    <t>establishedDate</t>
  </si>
  <si>
    <t>broadcastedBy</t>
  </si>
  <si>
    <t>network</t>
  </si>
  <si>
    <t>musicComposer</t>
  </si>
  <si>
    <t>themeMusicComposer</t>
  </si>
  <si>
    <t>location</t>
  </si>
  <si>
    <t>cityLocation</t>
  </si>
  <si>
    <t>dishVariation</t>
  </si>
  <si>
    <t>hasVariant</t>
  </si>
  <si>
    <t>languages</t>
  </si>
  <si>
    <t>engine</t>
  </si>
  <si>
    <t>enginetype</t>
  </si>
  <si>
    <t>totalProduction</t>
  </si>
  <si>
    <t>totalproduction</t>
  </si>
  <si>
    <t>established</t>
  </si>
  <si>
    <t>commemorated</t>
  </si>
  <si>
    <t>hasToItsSoutheast</t>
  </si>
  <si>
    <t>southeast</t>
  </si>
  <si>
    <t>hasToItsNorth</t>
  </si>
  <si>
    <t>north</t>
  </si>
  <si>
    <t>hasToItsWest</t>
  </si>
  <si>
    <t>west</t>
  </si>
  <si>
    <t>hasToItsSouthwest</t>
  </si>
  <si>
    <t>southwest</t>
  </si>
  <si>
    <t>precededBy</t>
  </si>
  <si>
    <t>prevTitle</t>
  </si>
  <si>
    <t>followedBy</t>
  </si>
  <si>
    <t>nextTitle</t>
  </si>
  <si>
    <t>inOfficeWhilePresident</t>
  </si>
  <si>
    <t>president</t>
  </si>
  <si>
    <t>fields</t>
  </si>
  <si>
    <t>residence</t>
  </si>
  <si>
    <t>restingPlace</t>
  </si>
  <si>
    <t>academicDiscipline</t>
  </si>
  <si>
    <t>areaOfWater</t>
  </si>
  <si>
    <t>areaWater</t>
  </si>
  <si>
    <t>yearStart</t>
  </si>
  <si>
    <t>dissolutionYear</t>
  </si>
  <si>
    <t>yearEnd</t>
  </si>
  <si>
    <t>affiliation</t>
  </si>
  <si>
    <t>academicAffiliations</t>
  </si>
  <si>
    <t>champions</t>
  </si>
  <si>
    <t>mostChamps</t>
  </si>
  <si>
    <t>fullName</t>
  </si>
  <si>
    <t>fullname</t>
  </si>
  <si>
    <t>wasGivenTheTechnicalCampusStatusBy</t>
  </si>
  <si>
    <t>free</t>
  </si>
  <si>
    <t>staff</t>
  </si>
  <si>
    <t>administrativeStaff</t>
  </si>
  <si>
    <t>chairman</t>
  </si>
  <si>
    <t>previousWork</t>
  </si>
  <si>
    <t>author</t>
  </si>
  <si>
    <t xml:space="preserve">  - URI changes (label changed, URI same)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</si>
</sst>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1"/>
      <name val="Abadi"/>
      <family val="2"/>
    </font>
    <font>
      <sz val="11"/>
      <color theme="1"/>
      <name val="Abadi"/>
      <family val="2"/>
    </font>
    <font>
      <b/>
      <sz val="11"/>
      <color rgb="FF000000"/>
      <name val="Abadi"/>
      <family val="2"/>
    </font>
    <font>
      <sz val="11"/>
      <color rgb="FF000000"/>
      <name val="Abadi"/>
      <family val="2"/>
    </font>
  </fonts>
  <fills count="1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548135"/>
        <bgColor rgb="FF548135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D0CECE"/>
        <bgColor rgb="FFD0CECE"/>
      </patternFill>
    </fill>
    <fill>
      <patternFill patternType="solid">
        <fgColor rgb="FF8496B0"/>
        <bgColor rgb="FF8496B0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5" borderId="1" xfId="0" applyFont="1" applyFill="1" applyBorder="1"/>
    <xf numFmtId="0" fontId="1" fillId="6" borderId="1" xfId="0" applyFont="1" applyFill="1" applyBorder="1"/>
    <xf numFmtId="0" fontId="3" fillId="6" borderId="1" xfId="0" applyFont="1" applyFill="1" applyBorder="1"/>
    <xf numFmtId="0" fontId="1" fillId="7" borderId="1" xfId="0" applyFont="1" applyFill="1" applyBorder="1"/>
    <xf numFmtId="0" fontId="3" fillId="7" borderId="1" xfId="0" applyFont="1" applyFill="1" applyBorder="1"/>
    <xf numFmtId="0" fontId="1" fillId="8" borderId="1" xfId="0" applyFont="1" applyFill="1" applyBorder="1"/>
    <xf numFmtId="0" fontId="3" fillId="8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1" fillId="9" borderId="1" xfId="0" applyFont="1" applyFill="1" applyBorder="1"/>
    <xf numFmtId="0" fontId="3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3" fillId="12" borderId="1" xfId="0" applyFont="1" applyFill="1" applyBorder="1"/>
    <xf numFmtId="0" fontId="1" fillId="13" borderId="1" xfId="0" applyFont="1" applyFill="1" applyBorder="1"/>
    <xf numFmtId="0" fontId="3" fillId="13" borderId="1" xfId="0" applyFont="1" applyFill="1" applyBorder="1"/>
    <xf numFmtId="0" fontId="1" fillId="14" borderId="1" xfId="0" applyFont="1" applyFill="1" applyBorder="1"/>
    <xf numFmtId="0" fontId="3" fillId="14" borderId="1" xfId="0" applyFont="1" applyFill="1" applyBorder="1"/>
    <xf numFmtId="0" fontId="1" fillId="15" borderId="1" xfId="0" applyFont="1" applyFill="1" applyBorder="1"/>
    <xf numFmtId="0" fontId="3" fillId="15" borderId="1" xfId="0" applyFont="1" applyFill="1" applyBorder="1"/>
    <xf numFmtId="0" fontId="1" fillId="4" borderId="1" xfId="0" applyFont="1" applyFill="1" applyBorder="1"/>
    <xf numFmtId="0" fontId="3" fillId="4" borderId="1" xfId="0" applyFont="1" applyFill="1" applyBorder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6" fillId="3" borderId="0" xfId="0" applyFont="1" applyFill="1"/>
    <xf numFmtId="3" fontId="7" fillId="0" borderId="0" xfId="0" applyNumberFormat="1" applyFont="1" applyAlignment="1">
      <alignment horizontal="right"/>
    </xf>
    <xf numFmtId="0" fontId="6" fillId="4" borderId="0" xfId="0" applyFont="1" applyFill="1"/>
    <xf numFmtId="0" fontId="6" fillId="4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2" fontId="4" fillId="0" borderId="0" xfId="0" applyNumberFormat="1" applyFont="1"/>
    <xf numFmtId="2" fontId="4" fillId="2" borderId="0" xfId="0" applyNumberFormat="1" applyFont="1" applyFill="1"/>
  </cellXfs>
  <cellStyles count="1">
    <cellStyle name="Normal" xfId="0" builtinId="0"/>
  </cellStyles>
  <dxfs count="1170"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</dxfs>
  <tableStyles count="173">
    <tableStyle name="ENTITY_STATISTICS-style" pivot="0" count="3" xr9:uid="{00000000-0011-0000-FFFF-FFFF00000000}">
      <tableStyleElement type="headerRow" dxfId="1169"/>
      <tableStyleElement type="firstRowStripe" dxfId="1168"/>
      <tableStyleElement type="secondRowStripe" dxfId="1167"/>
    </tableStyle>
    <tableStyle name="ENTITY_STATISTICS-style 2" pivot="0" count="3" xr9:uid="{00000000-0011-0000-FFFF-FFFF01000000}">
      <tableStyleElement type="headerRow" dxfId="1166"/>
      <tableStyleElement type="firstRowStripe" dxfId="1165"/>
      <tableStyleElement type="secondRowStripe" dxfId="1164"/>
    </tableStyle>
    <tableStyle name="ENTITY_STATISTICS-style 3" pivot="0" count="3" xr9:uid="{00000000-0011-0000-FFFF-FFFF02000000}">
      <tableStyleElement type="headerRow" dxfId="1163"/>
      <tableStyleElement type="firstRowStripe" dxfId="1162"/>
      <tableStyleElement type="secondRowStripe" dxfId="1161"/>
    </tableStyle>
    <tableStyle name="ENTITY_STATISTICS-style 4" pivot="0" count="3" xr9:uid="{00000000-0011-0000-FFFF-FFFF03000000}">
      <tableStyleElement type="headerRow" dxfId="1160"/>
      <tableStyleElement type="firstRowStripe" dxfId="1159"/>
      <tableStyleElement type="secondRowStripe" dxfId="1158"/>
    </tableStyle>
    <tableStyle name="ENTITY_STATISTICS-style 5" pivot="0" count="3" xr9:uid="{00000000-0011-0000-FFFF-FFFF04000000}">
      <tableStyleElement type="headerRow" dxfId="1157"/>
      <tableStyleElement type="firstRowStripe" dxfId="1156"/>
      <tableStyleElement type="secondRowStripe" dxfId="1155"/>
    </tableStyle>
    <tableStyle name="ENTITY_STATISTICS-style 6" pivot="0" count="3" xr9:uid="{00000000-0011-0000-FFFF-FFFF05000000}">
      <tableStyleElement type="headerRow" dxfId="1154"/>
      <tableStyleElement type="firstRowStripe" dxfId="1153"/>
      <tableStyleElement type="secondRowStripe" dxfId="1152"/>
    </tableStyle>
    <tableStyle name="ENTITY_STATISTICS-style 7" pivot="0" count="3" xr9:uid="{00000000-0011-0000-FFFF-FFFF06000000}">
      <tableStyleElement type="headerRow" dxfId="1151"/>
      <tableStyleElement type="firstRowStripe" dxfId="1150"/>
      <tableStyleElement type="secondRowStripe" dxfId="1149"/>
    </tableStyle>
    <tableStyle name="ENTITY_STATISTICS-style 8" pivot="0" count="3" xr9:uid="{00000000-0011-0000-FFFF-FFFF07000000}">
      <tableStyleElement type="headerRow" dxfId="1148"/>
      <tableStyleElement type="firstRowStripe" dxfId="1147"/>
      <tableStyleElement type="secondRowStripe" dxfId="1146"/>
    </tableStyle>
    <tableStyle name="ENTITY_STATISTICS-style 9" pivot="0" count="3" xr9:uid="{00000000-0011-0000-FFFF-FFFF08000000}">
      <tableStyleElement type="headerRow" dxfId="1145"/>
      <tableStyleElement type="firstRowStripe" dxfId="1144"/>
      <tableStyleElement type="secondRowStripe" dxfId="1143"/>
    </tableStyle>
    <tableStyle name="ENTITY_STATISTICS-style 10" pivot="0" count="3" xr9:uid="{00000000-0011-0000-FFFF-FFFF09000000}">
      <tableStyleElement type="headerRow" dxfId="1142"/>
      <tableStyleElement type="firstRowStripe" dxfId="1141"/>
      <tableStyleElement type="secondRowStripe" dxfId="1140"/>
    </tableStyle>
    <tableStyle name="ENTITY_STATISTICS-style 11" pivot="0" count="3" xr9:uid="{00000000-0011-0000-FFFF-FFFF0A000000}">
      <tableStyleElement type="headerRow" dxfId="1139"/>
      <tableStyleElement type="firstRowStripe" dxfId="1138"/>
      <tableStyleElement type="secondRowStripe" dxfId="1137"/>
    </tableStyle>
    <tableStyle name="ENTITY_STATISTICS-style 12" pivot="0" count="3" xr9:uid="{00000000-0011-0000-FFFF-FFFF0B000000}">
      <tableStyleElement type="headerRow" dxfId="1136"/>
      <tableStyleElement type="firstRowStripe" dxfId="1135"/>
      <tableStyleElement type="secondRowStripe" dxfId="1134"/>
    </tableStyle>
    <tableStyle name="ENTITY_STATISTICS-style 13" pivot="0" count="3" xr9:uid="{00000000-0011-0000-FFFF-FFFF0C000000}">
      <tableStyleElement type="headerRow" dxfId="1133"/>
      <tableStyleElement type="firstRowStripe" dxfId="1132"/>
      <tableStyleElement type="secondRowStripe" dxfId="1131"/>
    </tableStyle>
    <tableStyle name="ENTITY_STATISTICS-style 14" pivot="0" count="3" xr9:uid="{00000000-0011-0000-FFFF-FFFF0D000000}">
      <tableStyleElement type="headerRow" dxfId="1130"/>
      <tableStyleElement type="firstRowStripe" dxfId="1129"/>
      <tableStyleElement type="secondRowStripe" dxfId="1128"/>
    </tableStyle>
    <tableStyle name="ENTITY_STATISTICS-style 15" pivot="0" count="3" xr9:uid="{00000000-0011-0000-FFFF-FFFF0E000000}">
      <tableStyleElement type="headerRow" dxfId="1127"/>
      <tableStyleElement type="firstRowStripe" dxfId="1126"/>
      <tableStyleElement type="secondRowStripe" dxfId="1125"/>
    </tableStyle>
    <tableStyle name="ENTITY_STATISTICS-style 16" pivot="0" count="3" xr9:uid="{00000000-0011-0000-FFFF-FFFF0F000000}">
      <tableStyleElement type="headerRow" dxfId="1124"/>
      <tableStyleElement type="firstRowStripe" dxfId="1123"/>
      <tableStyleElement type="secondRowStripe" dxfId="1122"/>
    </tableStyle>
    <tableStyle name="ENTITY_STATISTICS-style 17" pivot="0" count="3" xr9:uid="{00000000-0011-0000-FFFF-FFFF10000000}">
      <tableStyleElement type="headerRow" dxfId="1121"/>
      <tableStyleElement type="firstRowStripe" dxfId="1120"/>
      <tableStyleElement type="secondRowStripe" dxfId="1119"/>
    </tableStyle>
    <tableStyle name="ENTITY_STATISTICS-style 18" pivot="0" count="3" xr9:uid="{00000000-0011-0000-FFFF-FFFF11000000}">
      <tableStyleElement type="headerRow" dxfId="1118"/>
      <tableStyleElement type="firstRowStripe" dxfId="1117"/>
      <tableStyleElement type="secondRowStripe" dxfId="1116"/>
    </tableStyle>
    <tableStyle name="ENTITY_STATISTICS-style 19" pivot="0" count="3" xr9:uid="{00000000-0011-0000-FFFF-FFFF12000000}">
      <tableStyleElement type="headerRow" dxfId="1115"/>
      <tableStyleElement type="firstRowStripe" dxfId="1114"/>
      <tableStyleElement type="secondRowStripe" dxfId="1113"/>
    </tableStyle>
    <tableStyle name="ENTITY_STATISTICS-style 20" pivot="0" count="3" xr9:uid="{00000000-0011-0000-FFFF-FFFF13000000}">
      <tableStyleElement type="headerRow" dxfId="1112"/>
      <tableStyleElement type="firstRowStripe" dxfId="1111"/>
      <tableStyleElement type="secondRowStripe" dxfId="1110"/>
    </tableStyle>
    <tableStyle name="ENTITY_STATISTICS-style 21" pivot="0" count="3" xr9:uid="{00000000-0011-0000-FFFF-FFFF14000000}">
      <tableStyleElement type="headerRow" dxfId="1109"/>
      <tableStyleElement type="firstRowStripe" dxfId="1108"/>
      <tableStyleElement type="secondRowStripe" dxfId="1107"/>
    </tableStyle>
    <tableStyle name="ENTITY_STATISTICS-style 22" pivot="0" count="3" xr9:uid="{00000000-0011-0000-FFFF-FFFF15000000}">
      <tableStyleElement type="headerRow" dxfId="1106"/>
      <tableStyleElement type="firstRowStripe" dxfId="1105"/>
      <tableStyleElement type="secondRowStripe" dxfId="1104"/>
    </tableStyle>
    <tableStyle name="ENTITY_STATISTICS-style 23" pivot="0" count="3" xr9:uid="{00000000-0011-0000-FFFF-FFFF16000000}">
      <tableStyleElement type="headerRow" dxfId="1103"/>
      <tableStyleElement type="firstRowStripe" dxfId="1102"/>
      <tableStyleElement type="secondRowStripe" dxfId="1101"/>
    </tableStyle>
    <tableStyle name="ENTITY_STATISTICS-style 24" pivot="0" count="3" xr9:uid="{00000000-0011-0000-FFFF-FFFF17000000}">
      <tableStyleElement type="headerRow" dxfId="1100"/>
      <tableStyleElement type="firstRowStripe" dxfId="1099"/>
      <tableStyleElement type="secondRowStripe" dxfId="1098"/>
    </tableStyle>
    <tableStyle name="ENTITY_STATISTICS-style 25" pivot="0" count="3" xr9:uid="{00000000-0011-0000-FFFF-FFFF18000000}">
      <tableStyleElement type="headerRow" dxfId="1097"/>
      <tableStyleElement type="firstRowStripe" dxfId="1096"/>
      <tableStyleElement type="secondRowStripe" dxfId="1095"/>
    </tableStyle>
    <tableStyle name="ENTITY_STATISTICS-style 26" pivot="0" count="3" xr9:uid="{00000000-0011-0000-FFFF-FFFF19000000}">
      <tableStyleElement type="headerRow" dxfId="1094"/>
      <tableStyleElement type="firstRowStripe" dxfId="1093"/>
      <tableStyleElement type="secondRowStripe" dxfId="1092"/>
    </tableStyle>
    <tableStyle name="ENTITY_STATISTICS-style 27" pivot="0" count="3" xr9:uid="{00000000-0011-0000-FFFF-FFFF1A000000}">
      <tableStyleElement type="headerRow" dxfId="1091"/>
      <tableStyleElement type="firstRowStripe" dxfId="1090"/>
      <tableStyleElement type="secondRowStripe" dxfId="1089"/>
    </tableStyle>
    <tableStyle name="ENTITY_STATISTICS-style 28" pivot="0" count="3" xr9:uid="{00000000-0011-0000-FFFF-FFFF1B000000}">
      <tableStyleElement type="headerRow" dxfId="1088"/>
      <tableStyleElement type="firstRowStripe" dxfId="1087"/>
      <tableStyleElement type="secondRowStripe" dxfId="1086"/>
    </tableStyle>
    <tableStyle name="ENTITY_STATISTICS-style 29" pivot="0" count="3" xr9:uid="{00000000-0011-0000-FFFF-FFFF1C000000}">
      <tableStyleElement type="headerRow" dxfId="1085"/>
      <tableStyleElement type="firstRowStripe" dxfId="1084"/>
      <tableStyleElement type="secondRowStripe" dxfId="1083"/>
    </tableStyle>
    <tableStyle name="ENTITY_STATISTICS-style 30" pivot="0" count="3" xr9:uid="{00000000-0011-0000-FFFF-FFFF1D000000}">
      <tableStyleElement type="headerRow" dxfId="1082"/>
      <tableStyleElement type="firstRowStripe" dxfId="1081"/>
      <tableStyleElement type="secondRowStripe" dxfId="1080"/>
    </tableStyle>
    <tableStyle name="ENTITY_STATISTICS-style 31" pivot="0" count="3" xr9:uid="{00000000-0011-0000-FFFF-FFFF1E000000}">
      <tableStyleElement type="headerRow" dxfId="1079"/>
      <tableStyleElement type="firstRowStripe" dxfId="1078"/>
      <tableStyleElement type="secondRowStripe" dxfId="1077"/>
    </tableStyle>
    <tableStyle name="ENTITY_STATISTICS-style 32" pivot="0" count="3" xr9:uid="{00000000-0011-0000-FFFF-FFFF1F000000}">
      <tableStyleElement type="headerRow" dxfId="1076"/>
      <tableStyleElement type="firstRowStripe" dxfId="1075"/>
      <tableStyleElement type="secondRowStripe" dxfId="1074"/>
    </tableStyle>
    <tableStyle name="ENTITY_STATISTICS-style 33" pivot="0" count="3" xr9:uid="{00000000-0011-0000-FFFF-FFFF20000000}">
      <tableStyleElement type="headerRow" dxfId="1073"/>
      <tableStyleElement type="firstRowStripe" dxfId="1072"/>
      <tableStyleElement type="secondRowStripe" dxfId="1071"/>
    </tableStyle>
    <tableStyle name="ENTITY_STATISTICS-style 34" pivot="0" count="3" xr9:uid="{00000000-0011-0000-FFFF-FFFF21000000}">
      <tableStyleElement type="headerRow" dxfId="1070"/>
      <tableStyleElement type="firstRowStripe" dxfId="1069"/>
      <tableStyleElement type="secondRowStripe" dxfId="1068"/>
    </tableStyle>
    <tableStyle name="ENTITY_STATISTICS-style 35" pivot="0" count="3" xr9:uid="{00000000-0011-0000-FFFF-FFFF22000000}">
      <tableStyleElement type="headerRow" dxfId="1067"/>
      <tableStyleElement type="firstRowStripe" dxfId="1066"/>
      <tableStyleElement type="secondRowStripe" dxfId="1065"/>
    </tableStyle>
    <tableStyle name="ENTITY_STATISTICS-style 36" pivot="0" count="3" xr9:uid="{00000000-0011-0000-FFFF-FFFF23000000}">
      <tableStyleElement type="headerRow" dxfId="1064"/>
      <tableStyleElement type="firstRowStripe" dxfId="1063"/>
      <tableStyleElement type="secondRowStripe" dxfId="1062"/>
    </tableStyle>
    <tableStyle name="ENTITY_STATISTICS-style 37" pivot="0" count="3" xr9:uid="{00000000-0011-0000-FFFF-FFFF24000000}">
      <tableStyleElement type="headerRow" dxfId="1061"/>
      <tableStyleElement type="firstRowStripe" dxfId="1060"/>
      <tableStyleElement type="secondRowStripe" dxfId="1059"/>
    </tableStyle>
    <tableStyle name="ENTITY_STATISTICS-style 38" pivot="0" count="3" xr9:uid="{00000000-0011-0000-FFFF-FFFF25000000}">
      <tableStyleElement type="headerRow" dxfId="1058"/>
      <tableStyleElement type="firstRowStripe" dxfId="1057"/>
      <tableStyleElement type="secondRowStripe" dxfId="1056"/>
    </tableStyle>
    <tableStyle name="ENTITY_STATISTICS-style 39" pivot="0" count="3" xr9:uid="{00000000-0011-0000-FFFF-FFFF26000000}">
      <tableStyleElement type="headerRow" dxfId="1055"/>
      <tableStyleElement type="firstRowStripe" dxfId="1054"/>
      <tableStyleElement type="secondRowStripe" dxfId="1053"/>
    </tableStyle>
    <tableStyle name="ENTITY_STATISTICS-style 40" pivot="0" count="3" xr9:uid="{00000000-0011-0000-FFFF-FFFF27000000}">
      <tableStyleElement type="headerRow" dxfId="1052"/>
      <tableStyleElement type="firstRowStripe" dxfId="1051"/>
      <tableStyleElement type="secondRowStripe" dxfId="1050"/>
    </tableStyle>
    <tableStyle name="ENTITY_STATISTICS-style 41" pivot="0" count="3" xr9:uid="{00000000-0011-0000-FFFF-FFFF28000000}">
      <tableStyleElement type="headerRow" dxfId="1049"/>
      <tableStyleElement type="firstRowStripe" dxfId="1048"/>
      <tableStyleElement type="secondRowStripe" dxfId="1047"/>
    </tableStyle>
    <tableStyle name="ENTITY_STATISTICS-style 42" pivot="0" count="3" xr9:uid="{00000000-0011-0000-FFFF-FFFF29000000}">
      <tableStyleElement type="headerRow" dxfId="1046"/>
      <tableStyleElement type="firstRowStripe" dxfId="1045"/>
      <tableStyleElement type="secondRowStripe" dxfId="1044"/>
    </tableStyle>
    <tableStyle name="ENTITY_STATISTICS-style 43" pivot="0" count="3" xr9:uid="{00000000-0011-0000-FFFF-FFFF2A000000}">
      <tableStyleElement type="headerRow" dxfId="1043"/>
      <tableStyleElement type="firstRowStripe" dxfId="1042"/>
      <tableStyleElement type="secondRowStripe" dxfId="1041"/>
    </tableStyle>
    <tableStyle name="ENTITY_STATISTICS-style 44" pivot="0" count="3" xr9:uid="{00000000-0011-0000-FFFF-FFFF2B000000}">
      <tableStyleElement type="headerRow" dxfId="1040"/>
      <tableStyleElement type="firstRowStripe" dxfId="1039"/>
      <tableStyleElement type="secondRowStripe" dxfId="1038"/>
    </tableStyle>
    <tableStyle name="ENTITY_STATISTICS-style 45" pivot="0" count="3" xr9:uid="{00000000-0011-0000-FFFF-FFFF2C000000}">
      <tableStyleElement type="headerRow" dxfId="1037"/>
      <tableStyleElement type="firstRowStripe" dxfId="1036"/>
      <tableStyleElement type="secondRowStripe" dxfId="1035"/>
    </tableStyle>
    <tableStyle name="ENTITY_STATISTICS-style 46" pivot="0" count="3" xr9:uid="{00000000-0011-0000-FFFF-FFFF2D000000}">
      <tableStyleElement type="headerRow" dxfId="1034"/>
      <tableStyleElement type="firstRowStripe" dxfId="1033"/>
      <tableStyleElement type="secondRowStripe" dxfId="1032"/>
    </tableStyle>
    <tableStyle name="ENTITY_STATISTICS-style 47" pivot="0" count="3" xr9:uid="{00000000-0011-0000-FFFF-FFFF2E000000}">
      <tableStyleElement type="headerRow" dxfId="1031"/>
      <tableStyleElement type="firstRowStripe" dxfId="1030"/>
      <tableStyleElement type="secondRowStripe" dxfId="1029"/>
    </tableStyle>
    <tableStyle name="ENTITY_STATISTICS-style 48" pivot="0" count="3" xr9:uid="{00000000-0011-0000-FFFF-FFFF2F000000}">
      <tableStyleElement type="headerRow" dxfId="1028"/>
      <tableStyleElement type="firstRowStripe" dxfId="1027"/>
      <tableStyleElement type="secondRowStripe" dxfId="1026"/>
    </tableStyle>
    <tableStyle name="ENTITY_STATISTICS-style 49" pivot="0" count="3" xr9:uid="{00000000-0011-0000-FFFF-FFFF30000000}">
      <tableStyleElement type="headerRow" dxfId="1025"/>
      <tableStyleElement type="firstRowStripe" dxfId="1024"/>
      <tableStyleElement type="secondRowStripe" dxfId="1023"/>
    </tableStyle>
    <tableStyle name="ENTITY_STATISTICS-style 50" pivot="0" count="3" xr9:uid="{00000000-0011-0000-FFFF-FFFF31000000}">
      <tableStyleElement type="headerRow" dxfId="1022"/>
      <tableStyleElement type="firstRowStripe" dxfId="1021"/>
      <tableStyleElement type="secondRowStripe" dxfId="1020"/>
    </tableStyle>
    <tableStyle name="ENTITY_STATISTICS-style 51" pivot="0" count="3" xr9:uid="{00000000-0011-0000-FFFF-FFFF32000000}">
      <tableStyleElement type="headerRow" dxfId="1019"/>
      <tableStyleElement type="firstRowStripe" dxfId="1018"/>
      <tableStyleElement type="secondRowStripe" dxfId="1017"/>
    </tableStyle>
    <tableStyle name="ENTITY_STATISTICS-style 52" pivot="0" count="3" xr9:uid="{00000000-0011-0000-FFFF-FFFF33000000}">
      <tableStyleElement type="headerRow" dxfId="1016"/>
      <tableStyleElement type="firstRowStripe" dxfId="1015"/>
      <tableStyleElement type="secondRowStripe" dxfId="1014"/>
    </tableStyle>
    <tableStyle name="ENTITY_STATISTICS-style 53" pivot="0" count="3" xr9:uid="{00000000-0011-0000-FFFF-FFFF34000000}">
      <tableStyleElement type="headerRow" dxfId="1013"/>
      <tableStyleElement type="firstRowStripe" dxfId="1012"/>
      <tableStyleElement type="secondRowStripe" dxfId="1011"/>
    </tableStyle>
    <tableStyle name="ENTITY_STATISTICS-style 54" pivot="0" count="3" xr9:uid="{00000000-0011-0000-FFFF-FFFF35000000}">
      <tableStyleElement type="headerRow" dxfId="1010"/>
      <tableStyleElement type="firstRowStripe" dxfId="1009"/>
      <tableStyleElement type="secondRowStripe" dxfId="1008"/>
    </tableStyle>
    <tableStyle name="ENTITY_STATISTICS-style 55" pivot="0" count="3" xr9:uid="{00000000-0011-0000-FFFF-FFFF36000000}">
      <tableStyleElement type="headerRow" dxfId="1007"/>
      <tableStyleElement type="firstRowStripe" dxfId="1006"/>
      <tableStyleElement type="secondRowStripe" dxfId="1005"/>
    </tableStyle>
    <tableStyle name="ENTITY_STATISTICS-style 56" pivot="0" count="3" xr9:uid="{00000000-0011-0000-FFFF-FFFF37000000}">
      <tableStyleElement type="headerRow" dxfId="1004"/>
      <tableStyleElement type="firstRowStripe" dxfId="1003"/>
      <tableStyleElement type="secondRowStripe" dxfId="1002"/>
    </tableStyle>
    <tableStyle name="ENTITY_STATISTICS-style 57" pivot="0" count="3" xr9:uid="{00000000-0011-0000-FFFF-FFFF38000000}">
      <tableStyleElement type="headerRow" dxfId="1001"/>
      <tableStyleElement type="firstRowStripe" dxfId="1000"/>
      <tableStyleElement type="secondRowStripe" dxfId="999"/>
    </tableStyle>
    <tableStyle name="ENTITY_STATISTICS-style 58" pivot="0" count="2" xr9:uid="{00000000-0011-0000-FFFF-FFFF39000000}">
      <tableStyleElement type="firstRowStripe" dxfId="998"/>
      <tableStyleElement type="secondRowStripe" dxfId="997"/>
    </tableStyle>
    <tableStyle name="ENTITY_STATISTICS-style 59" pivot="0" count="2" xr9:uid="{00000000-0011-0000-FFFF-FFFF3A000000}">
      <tableStyleElement type="firstRowStripe" dxfId="996"/>
      <tableStyleElement type="secondRowStripe" dxfId="995"/>
    </tableStyle>
    <tableStyle name="ENTITY_STATISTICS-style 60" pivot="0" count="2" xr9:uid="{00000000-0011-0000-FFFF-FFFF3B000000}">
      <tableStyleElement type="firstRowStripe" dxfId="994"/>
      <tableStyleElement type="secondRowStripe" dxfId="993"/>
    </tableStyle>
    <tableStyle name="ENTITY_STATISTICS-style 61" pivot="0" count="2" xr9:uid="{00000000-0011-0000-FFFF-FFFF3C000000}">
      <tableStyleElement type="firstRowStripe" dxfId="992"/>
      <tableStyleElement type="secondRowStripe" dxfId="991"/>
    </tableStyle>
    <tableStyle name="ENTITY_STATISTICS-style 62" pivot="0" count="2" xr9:uid="{00000000-0011-0000-FFFF-FFFF3D000000}">
      <tableStyleElement type="firstRowStripe" dxfId="990"/>
      <tableStyleElement type="secondRowStripe" dxfId="989"/>
    </tableStyle>
    <tableStyle name="ENTITY_STATISTICS-style 63" pivot="0" count="2" xr9:uid="{00000000-0011-0000-FFFF-FFFF3E000000}">
      <tableStyleElement type="firstRowStripe" dxfId="988"/>
      <tableStyleElement type="secondRowStripe" dxfId="987"/>
    </tableStyle>
    <tableStyle name="ENTITY_STATISTICS-style 64" pivot="0" count="2" xr9:uid="{00000000-0011-0000-FFFF-FFFF3F000000}">
      <tableStyleElement type="firstRowStripe" dxfId="986"/>
      <tableStyleElement type="secondRowStripe" dxfId="985"/>
    </tableStyle>
    <tableStyle name="ENTITY_STATISTICS-style 65" pivot="0" count="2" xr9:uid="{00000000-0011-0000-FFFF-FFFF40000000}">
      <tableStyleElement type="firstRowStripe" dxfId="984"/>
      <tableStyleElement type="secondRowStripe" dxfId="983"/>
    </tableStyle>
    <tableStyle name="ENTITY_STATISTICS-style 66" pivot="0" count="2" xr9:uid="{00000000-0011-0000-FFFF-FFFF41000000}">
      <tableStyleElement type="firstRowStripe" dxfId="982"/>
      <tableStyleElement type="secondRowStripe" dxfId="981"/>
    </tableStyle>
    <tableStyle name="ENTITY_STATISTICS-style 67" pivot="0" count="2" xr9:uid="{00000000-0011-0000-FFFF-FFFF42000000}">
      <tableStyleElement type="firstRowStripe" dxfId="980"/>
      <tableStyleElement type="secondRowStripe" dxfId="979"/>
    </tableStyle>
    <tableStyle name="ENTITY_STATISTICS-style 68" pivot="0" count="2" xr9:uid="{00000000-0011-0000-FFFF-FFFF43000000}">
      <tableStyleElement type="firstRowStripe" dxfId="978"/>
      <tableStyleElement type="secondRowStripe" dxfId="977"/>
    </tableStyle>
    <tableStyle name="ENTITY_STATISTICS-style 69" pivot="0" count="2" xr9:uid="{00000000-0011-0000-FFFF-FFFF44000000}">
      <tableStyleElement type="firstRowStripe" dxfId="976"/>
      <tableStyleElement type="secondRowStripe" dxfId="975"/>
    </tableStyle>
    <tableStyle name="ENTITY_STATISTICS-style 70" pivot="0" count="2" xr9:uid="{00000000-0011-0000-FFFF-FFFF45000000}">
      <tableStyleElement type="firstRowStripe" dxfId="974"/>
      <tableStyleElement type="secondRowStripe" dxfId="973"/>
    </tableStyle>
    <tableStyle name="ENTITY_STATISTICS-style 71" pivot="0" count="2" xr9:uid="{00000000-0011-0000-FFFF-FFFF46000000}">
      <tableStyleElement type="firstRowStripe" dxfId="972"/>
      <tableStyleElement type="secondRowStripe" dxfId="971"/>
    </tableStyle>
    <tableStyle name="ENTITY_STATISTICS-style 72" pivot="0" count="2" xr9:uid="{00000000-0011-0000-FFFF-FFFF47000000}">
      <tableStyleElement type="firstRowStripe" dxfId="970"/>
      <tableStyleElement type="secondRowStripe" dxfId="969"/>
    </tableStyle>
    <tableStyle name="ENTITY_STATISTICS-style 73" pivot="0" count="2" xr9:uid="{00000000-0011-0000-FFFF-FFFF48000000}">
      <tableStyleElement type="firstRowStripe" dxfId="968"/>
      <tableStyleElement type="secondRowStripe" dxfId="967"/>
    </tableStyle>
    <tableStyle name="ENTITY_STATISTICS-style 74" pivot="0" count="2" xr9:uid="{00000000-0011-0000-FFFF-FFFF49000000}">
      <tableStyleElement type="firstRowStripe" dxfId="966"/>
      <tableStyleElement type="secondRowStripe" dxfId="965"/>
    </tableStyle>
    <tableStyle name="ENTITY_STATISTICS-style 75" pivot="0" count="2" xr9:uid="{00000000-0011-0000-FFFF-FFFF4A000000}">
      <tableStyleElement type="firstRowStripe" dxfId="964"/>
      <tableStyleElement type="secondRowStripe" dxfId="963"/>
    </tableStyle>
    <tableStyle name="ENTITY_STATISTICS-style 76" pivot="0" count="2" xr9:uid="{00000000-0011-0000-FFFF-FFFF4B000000}">
      <tableStyleElement type="firstRowStripe" dxfId="962"/>
      <tableStyleElement type="secondRowStripe" dxfId="961"/>
    </tableStyle>
    <tableStyle name="ENTITY_STATISTICS-style 77" pivot="0" count="3" xr9:uid="{00000000-0011-0000-FFFF-FFFF4C000000}">
      <tableStyleElement type="headerRow" dxfId="960"/>
      <tableStyleElement type="firstRowStripe" dxfId="959"/>
      <tableStyleElement type="secondRowStripe" dxfId="958"/>
    </tableStyle>
    <tableStyle name="ENTITY_STATISTICS-style 78" pivot="0" count="3" xr9:uid="{00000000-0011-0000-FFFF-FFFF4D000000}">
      <tableStyleElement type="headerRow" dxfId="957"/>
      <tableStyleElement type="firstRowStripe" dxfId="956"/>
      <tableStyleElement type="secondRowStripe" dxfId="955"/>
    </tableStyle>
    <tableStyle name="ENTITY_STATISTICS-style 79" pivot="0" count="3" xr9:uid="{00000000-0011-0000-FFFF-FFFF4E000000}">
      <tableStyleElement type="headerRow" dxfId="954"/>
      <tableStyleElement type="firstRowStripe" dxfId="953"/>
      <tableStyleElement type="secondRowStripe" dxfId="952"/>
    </tableStyle>
    <tableStyle name="ENTITY_STATISTICS-style 80" pivot="0" count="3" xr9:uid="{00000000-0011-0000-FFFF-FFFF4F000000}">
      <tableStyleElement type="headerRow" dxfId="951"/>
      <tableStyleElement type="firstRowStripe" dxfId="950"/>
      <tableStyleElement type="secondRowStripe" dxfId="949"/>
    </tableStyle>
    <tableStyle name="ENTITY_STATISTICS-style 81" pivot="0" count="3" xr9:uid="{00000000-0011-0000-FFFF-FFFF50000000}">
      <tableStyleElement type="headerRow" dxfId="948"/>
      <tableStyleElement type="firstRowStripe" dxfId="947"/>
      <tableStyleElement type="secondRowStripe" dxfId="946"/>
    </tableStyle>
    <tableStyle name="ENTITY_STATISTICS-style 82" pivot="0" count="3" xr9:uid="{00000000-0011-0000-FFFF-FFFF51000000}">
      <tableStyleElement type="headerRow" dxfId="945"/>
      <tableStyleElement type="firstRowStripe" dxfId="944"/>
      <tableStyleElement type="secondRowStripe" dxfId="943"/>
    </tableStyle>
    <tableStyle name="ENTITY_STATISTICS-style 83" pivot="0" count="3" xr9:uid="{00000000-0011-0000-FFFF-FFFF52000000}">
      <tableStyleElement type="headerRow" dxfId="942"/>
      <tableStyleElement type="firstRowStripe" dxfId="941"/>
      <tableStyleElement type="secondRowStripe" dxfId="940"/>
    </tableStyle>
    <tableStyle name="ENTITY_STATISTICS-style 84" pivot="0" count="3" xr9:uid="{00000000-0011-0000-FFFF-FFFF53000000}">
      <tableStyleElement type="headerRow" dxfId="939"/>
      <tableStyleElement type="firstRowStripe" dxfId="938"/>
      <tableStyleElement type="secondRowStripe" dxfId="937"/>
    </tableStyle>
    <tableStyle name="ENTITY_STATISTICS-style 85" pivot="0" count="3" xr9:uid="{00000000-0011-0000-FFFF-FFFF54000000}">
      <tableStyleElement type="headerRow" dxfId="936"/>
      <tableStyleElement type="firstRowStripe" dxfId="935"/>
      <tableStyleElement type="secondRowStripe" dxfId="934"/>
    </tableStyle>
    <tableStyle name="ENTITY_STATISTICS-style 86" pivot="0" count="3" xr9:uid="{00000000-0011-0000-FFFF-FFFF55000000}">
      <tableStyleElement type="headerRow" dxfId="933"/>
      <tableStyleElement type="firstRowStripe" dxfId="932"/>
      <tableStyleElement type="secondRowStripe" dxfId="931"/>
    </tableStyle>
    <tableStyle name="ENTITY_STATISTICS-style 87" pivot="0" count="3" xr9:uid="{00000000-0011-0000-FFFF-FFFF56000000}">
      <tableStyleElement type="headerRow" dxfId="930"/>
      <tableStyleElement type="firstRowStripe" dxfId="929"/>
      <tableStyleElement type="secondRowStripe" dxfId="928"/>
    </tableStyle>
    <tableStyle name="ENTITY_STATISTICS-style 88" pivot="0" count="3" xr9:uid="{00000000-0011-0000-FFFF-FFFF57000000}">
      <tableStyleElement type="headerRow" dxfId="927"/>
      <tableStyleElement type="firstRowStripe" dxfId="926"/>
      <tableStyleElement type="secondRowStripe" dxfId="925"/>
    </tableStyle>
    <tableStyle name="ENTITY_STATISTICS-style 89" pivot="0" count="3" xr9:uid="{00000000-0011-0000-FFFF-FFFF58000000}">
      <tableStyleElement type="headerRow" dxfId="924"/>
      <tableStyleElement type="firstRowStripe" dxfId="923"/>
      <tableStyleElement type="secondRowStripe" dxfId="922"/>
    </tableStyle>
    <tableStyle name="ENTITY_STATISTICS-style 90" pivot="0" count="3" xr9:uid="{00000000-0011-0000-FFFF-FFFF59000000}">
      <tableStyleElement type="headerRow" dxfId="921"/>
      <tableStyleElement type="firstRowStripe" dxfId="920"/>
      <tableStyleElement type="secondRowStripe" dxfId="919"/>
    </tableStyle>
    <tableStyle name="ENTITY_STATISTICS-style 91" pivot="0" count="3" xr9:uid="{00000000-0011-0000-FFFF-FFFF5A000000}">
      <tableStyleElement type="headerRow" dxfId="918"/>
      <tableStyleElement type="firstRowStripe" dxfId="917"/>
      <tableStyleElement type="secondRowStripe" dxfId="916"/>
    </tableStyle>
    <tableStyle name="ENTITY_STATISTICS-style 92" pivot="0" count="3" xr9:uid="{00000000-0011-0000-FFFF-FFFF5B000000}">
      <tableStyleElement type="headerRow" dxfId="915"/>
      <tableStyleElement type="firstRowStripe" dxfId="914"/>
      <tableStyleElement type="secondRowStripe" dxfId="913"/>
    </tableStyle>
    <tableStyle name="ENTITY_STATISTICS-style 93" pivot="0" count="3" xr9:uid="{00000000-0011-0000-FFFF-FFFF5C000000}">
      <tableStyleElement type="headerRow" dxfId="912"/>
      <tableStyleElement type="firstRowStripe" dxfId="911"/>
      <tableStyleElement type="secondRowStripe" dxfId="910"/>
    </tableStyle>
    <tableStyle name="ENTITY_STATISTICS-style 94" pivot="0" count="3" xr9:uid="{00000000-0011-0000-FFFF-FFFF5D000000}">
      <tableStyleElement type="headerRow" dxfId="909"/>
      <tableStyleElement type="firstRowStripe" dxfId="908"/>
      <tableStyleElement type="secondRowStripe" dxfId="907"/>
    </tableStyle>
    <tableStyle name="ENTITY_STATISTICS-style 95" pivot="0" count="3" xr9:uid="{00000000-0011-0000-FFFF-FFFF5E000000}">
      <tableStyleElement type="headerRow" dxfId="906"/>
      <tableStyleElement type="firstRowStripe" dxfId="905"/>
      <tableStyleElement type="secondRowStripe" dxfId="904"/>
    </tableStyle>
    <tableStyle name="ENTITY_STATISTICS-style 96" pivot="0" count="2" xr9:uid="{00000000-0011-0000-FFFF-FFFF5F000000}">
      <tableStyleElement type="firstRowStripe" dxfId="903"/>
      <tableStyleElement type="secondRowStripe" dxfId="902"/>
    </tableStyle>
    <tableStyle name="ENTITY_STATISTICS-style 97" pivot="0" count="2" xr9:uid="{00000000-0011-0000-FFFF-FFFF60000000}">
      <tableStyleElement type="firstRowStripe" dxfId="901"/>
      <tableStyleElement type="secondRowStripe" dxfId="900"/>
    </tableStyle>
    <tableStyle name="ENTITY_STATISTICS-style 98" pivot="0" count="2" xr9:uid="{00000000-0011-0000-FFFF-FFFF61000000}">
      <tableStyleElement type="firstRowStripe" dxfId="899"/>
      <tableStyleElement type="secondRowStripe" dxfId="898"/>
    </tableStyle>
    <tableStyle name="ENTITY_STATISTICS-style 99" pivot="0" count="2" xr9:uid="{00000000-0011-0000-FFFF-FFFF62000000}">
      <tableStyleElement type="firstRowStripe" dxfId="897"/>
      <tableStyleElement type="secondRowStripe" dxfId="896"/>
    </tableStyle>
    <tableStyle name="ENTITY_STATISTICS-style 100" pivot="0" count="2" xr9:uid="{00000000-0011-0000-FFFF-FFFF63000000}">
      <tableStyleElement type="firstRowStripe" dxfId="895"/>
      <tableStyleElement type="secondRowStripe" dxfId="894"/>
    </tableStyle>
    <tableStyle name="ENTITY_STATISTICS-style 101" pivot="0" count="2" xr9:uid="{00000000-0011-0000-FFFF-FFFF64000000}">
      <tableStyleElement type="firstRowStripe" dxfId="893"/>
      <tableStyleElement type="secondRowStripe" dxfId="892"/>
    </tableStyle>
    <tableStyle name="ENTITY_STATISTICS-style 102" pivot="0" count="2" xr9:uid="{00000000-0011-0000-FFFF-FFFF65000000}">
      <tableStyleElement type="firstRowStripe" dxfId="891"/>
      <tableStyleElement type="secondRowStripe" dxfId="890"/>
    </tableStyle>
    <tableStyle name="ENTITY_STATISTICS-style 103" pivot="0" count="2" xr9:uid="{00000000-0011-0000-FFFF-FFFF66000000}">
      <tableStyleElement type="firstRowStripe" dxfId="889"/>
      <tableStyleElement type="secondRowStripe" dxfId="888"/>
    </tableStyle>
    <tableStyle name="ENTITY_STATISTICS-style 104" pivot="0" count="2" xr9:uid="{00000000-0011-0000-FFFF-FFFF67000000}">
      <tableStyleElement type="firstRowStripe" dxfId="887"/>
      <tableStyleElement type="secondRowStripe" dxfId="886"/>
    </tableStyle>
    <tableStyle name="ENTITY_STATISTICS-style 105" pivot="0" count="2" xr9:uid="{00000000-0011-0000-FFFF-FFFF68000000}">
      <tableStyleElement type="firstRowStripe" dxfId="885"/>
      <tableStyleElement type="secondRowStripe" dxfId="884"/>
    </tableStyle>
    <tableStyle name="ENTITY_STATISTICS-style 106" pivot="0" count="2" xr9:uid="{00000000-0011-0000-FFFF-FFFF69000000}">
      <tableStyleElement type="firstRowStripe" dxfId="883"/>
      <tableStyleElement type="secondRowStripe" dxfId="882"/>
    </tableStyle>
    <tableStyle name="ENTITY_STATISTICS-style 107" pivot="0" count="2" xr9:uid="{00000000-0011-0000-FFFF-FFFF6A000000}">
      <tableStyleElement type="firstRowStripe" dxfId="881"/>
      <tableStyleElement type="secondRowStripe" dxfId="880"/>
    </tableStyle>
    <tableStyle name="ENTITY_STATISTICS-style 108" pivot="0" count="2" xr9:uid="{00000000-0011-0000-FFFF-FFFF6B000000}">
      <tableStyleElement type="firstRowStripe" dxfId="879"/>
      <tableStyleElement type="secondRowStripe" dxfId="878"/>
    </tableStyle>
    <tableStyle name="ENTITY_STATISTICS-style 109" pivot="0" count="2" xr9:uid="{00000000-0011-0000-FFFF-FFFF6C000000}">
      <tableStyleElement type="firstRowStripe" dxfId="877"/>
      <tableStyleElement type="secondRowStripe" dxfId="876"/>
    </tableStyle>
    <tableStyle name="ENTITY_STATISTICS-style 110" pivot="0" count="2" xr9:uid="{00000000-0011-0000-FFFF-FFFF6D000000}">
      <tableStyleElement type="firstRowStripe" dxfId="875"/>
      <tableStyleElement type="secondRowStripe" dxfId="874"/>
    </tableStyle>
    <tableStyle name="ENTITY_STATISTICS-style 111" pivot="0" count="2" xr9:uid="{00000000-0011-0000-FFFF-FFFF6E000000}">
      <tableStyleElement type="firstRowStripe" dxfId="873"/>
      <tableStyleElement type="secondRowStripe" dxfId="872"/>
    </tableStyle>
    <tableStyle name="ENTITY_STATISTICS-style 112" pivot="0" count="2" xr9:uid="{00000000-0011-0000-FFFF-FFFF6F000000}">
      <tableStyleElement type="firstRowStripe" dxfId="871"/>
      <tableStyleElement type="secondRowStripe" dxfId="870"/>
    </tableStyle>
    <tableStyle name="ENTITY_STATISTICS-style 113" pivot="0" count="2" xr9:uid="{00000000-0011-0000-FFFF-FFFF70000000}">
      <tableStyleElement type="firstRowStripe" dxfId="869"/>
      <tableStyleElement type="secondRowStripe" dxfId="868"/>
    </tableStyle>
    <tableStyle name="ENTITY_STATISTICS-style 114" pivot="0" count="2" xr9:uid="{00000000-0011-0000-FFFF-FFFF71000000}">
      <tableStyleElement type="firstRowStripe" dxfId="867"/>
      <tableStyleElement type="secondRowStripe" dxfId="866"/>
    </tableStyle>
    <tableStyle name="ENTITY_STATISTICS-style 115" pivot="0" count="3" xr9:uid="{00000000-0011-0000-FFFF-FFFF72000000}">
      <tableStyleElement type="headerRow" dxfId="865"/>
      <tableStyleElement type="firstRowStripe" dxfId="864"/>
      <tableStyleElement type="secondRowStripe" dxfId="863"/>
    </tableStyle>
    <tableStyle name="ENTITY_STATISTICS-style 116" pivot="0" count="3" xr9:uid="{00000000-0011-0000-FFFF-FFFF73000000}">
      <tableStyleElement type="headerRow" dxfId="862"/>
      <tableStyleElement type="firstRowStripe" dxfId="861"/>
      <tableStyleElement type="secondRowStripe" dxfId="860"/>
    </tableStyle>
    <tableStyle name="ENTITY_STATISTICS-style 117" pivot="0" count="3" xr9:uid="{00000000-0011-0000-FFFF-FFFF74000000}">
      <tableStyleElement type="headerRow" dxfId="859"/>
      <tableStyleElement type="firstRowStripe" dxfId="858"/>
      <tableStyleElement type="secondRowStripe" dxfId="857"/>
    </tableStyle>
    <tableStyle name="ENTITY_STATISTICS-style 118" pivot="0" count="3" xr9:uid="{00000000-0011-0000-FFFF-FFFF75000000}">
      <tableStyleElement type="headerRow" dxfId="856"/>
      <tableStyleElement type="firstRowStripe" dxfId="855"/>
      <tableStyleElement type="secondRowStripe" dxfId="854"/>
    </tableStyle>
    <tableStyle name="ENTITY_STATISTICS-style 119" pivot="0" count="3" xr9:uid="{00000000-0011-0000-FFFF-FFFF76000000}">
      <tableStyleElement type="headerRow" dxfId="853"/>
      <tableStyleElement type="firstRowStripe" dxfId="852"/>
      <tableStyleElement type="secondRowStripe" dxfId="851"/>
    </tableStyle>
    <tableStyle name="ENTITY_STATISTICS-style 120" pivot="0" count="3" xr9:uid="{00000000-0011-0000-FFFF-FFFF77000000}">
      <tableStyleElement type="headerRow" dxfId="850"/>
      <tableStyleElement type="firstRowStripe" dxfId="849"/>
      <tableStyleElement type="secondRowStripe" dxfId="848"/>
    </tableStyle>
    <tableStyle name="ENTITY_STATISTICS-style 121" pivot="0" count="3" xr9:uid="{00000000-0011-0000-FFFF-FFFF78000000}">
      <tableStyleElement type="headerRow" dxfId="847"/>
      <tableStyleElement type="firstRowStripe" dxfId="846"/>
      <tableStyleElement type="secondRowStripe" dxfId="845"/>
    </tableStyle>
    <tableStyle name="ENTITY_STATISTICS-style 122" pivot="0" count="3" xr9:uid="{00000000-0011-0000-FFFF-FFFF79000000}">
      <tableStyleElement type="headerRow" dxfId="844"/>
      <tableStyleElement type="firstRowStripe" dxfId="843"/>
      <tableStyleElement type="secondRowStripe" dxfId="842"/>
    </tableStyle>
    <tableStyle name="ENTITY_STATISTICS-style 123" pivot="0" count="3" xr9:uid="{00000000-0011-0000-FFFF-FFFF7A000000}">
      <tableStyleElement type="headerRow" dxfId="841"/>
      <tableStyleElement type="firstRowStripe" dxfId="840"/>
      <tableStyleElement type="secondRowStripe" dxfId="839"/>
    </tableStyle>
    <tableStyle name="ENTITY_STATISTICS-style 124" pivot="0" count="3" xr9:uid="{00000000-0011-0000-FFFF-FFFF7B000000}">
      <tableStyleElement type="headerRow" dxfId="838"/>
      <tableStyleElement type="firstRowStripe" dxfId="837"/>
      <tableStyleElement type="secondRowStripe" dxfId="836"/>
    </tableStyle>
    <tableStyle name="ENTITY_STATISTICS-style 125" pivot="0" count="3" xr9:uid="{00000000-0011-0000-FFFF-FFFF7C000000}">
      <tableStyleElement type="headerRow" dxfId="835"/>
      <tableStyleElement type="firstRowStripe" dxfId="834"/>
      <tableStyleElement type="secondRowStripe" dxfId="833"/>
    </tableStyle>
    <tableStyle name="ENTITY_STATISTICS-style 126" pivot="0" count="3" xr9:uid="{00000000-0011-0000-FFFF-FFFF7D000000}">
      <tableStyleElement type="headerRow" dxfId="832"/>
      <tableStyleElement type="firstRowStripe" dxfId="831"/>
      <tableStyleElement type="secondRowStripe" dxfId="830"/>
    </tableStyle>
    <tableStyle name="ENTITY_STATISTICS-style 127" pivot="0" count="3" xr9:uid="{00000000-0011-0000-FFFF-FFFF7E000000}">
      <tableStyleElement type="headerRow" dxfId="829"/>
      <tableStyleElement type="firstRowStripe" dxfId="828"/>
      <tableStyleElement type="secondRowStripe" dxfId="827"/>
    </tableStyle>
    <tableStyle name="ENTITY_STATISTICS-style 128" pivot="0" count="3" xr9:uid="{00000000-0011-0000-FFFF-FFFF7F000000}">
      <tableStyleElement type="headerRow" dxfId="826"/>
      <tableStyleElement type="firstRowStripe" dxfId="825"/>
      <tableStyleElement type="secondRowStripe" dxfId="824"/>
    </tableStyle>
    <tableStyle name="ENTITY_STATISTICS-style 129" pivot="0" count="3" xr9:uid="{00000000-0011-0000-FFFF-FFFF80000000}">
      <tableStyleElement type="headerRow" dxfId="823"/>
      <tableStyleElement type="firstRowStripe" dxfId="822"/>
      <tableStyleElement type="secondRowStripe" dxfId="821"/>
    </tableStyle>
    <tableStyle name="ENTITY_STATISTICS-style 130" pivot="0" count="3" xr9:uid="{00000000-0011-0000-FFFF-FFFF81000000}">
      <tableStyleElement type="headerRow" dxfId="820"/>
      <tableStyleElement type="firstRowStripe" dxfId="819"/>
      <tableStyleElement type="secondRowStripe" dxfId="818"/>
    </tableStyle>
    <tableStyle name="ENTITY_STATISTICS-style 131" pivot="0" count="3" xr9:uid="{00000000-0011-0000-FFFF-FFFF82000000}">
      <tableStyleElement type="headerRow" dxfId="817"/>
      <tableStyleElement type="firstRowStripe" dxfId="816"/>
      <tableStyleElement type="secondRowStripe" dxfId="815"/>
    </tableStyle>
    <tableStyle name="ENTITY_STATISTICS-style 132" pivot="0" count="3" xr9:uid="{00000000-0011-0000-FFFF-FFFF83000000}">
      <tableStyleElement type="headerRow" dxfId="814"/>
      <tableStyleElement type="firstRowStripe" dxfId="813"/>
      <tableStyleElement type="secondRowStripe" dxfId="812"/>
    </tableStyle>
    <tableStyle name="ENTITY_STATISTICS-style 133" pivot="0" count="3" xr9:uid="{00000000-0011-0000-FFFF-FFFF84000000}">
      <tableStyleElement type="headerRow" dxfId="811"/>
      <tableStyleElement type="firstRowStripe" dxfId="810"/>
      <tableStyleElement type="secondRowStripe" dxfId="809"/>
    </tableStyle>
    <tableStyle name="ENTITY_STATISTICS-style 134" pivot="0" count="2" xr9:uid="{00000000-0011-0000-FFFF-FFFF85000000}">
      <tableStyleElement type="firstRowStripe" dxfId="808"/>
      <tableStyleElement type="secondRowStripe" dxfId="807"/>
    </tableStyle>
    <tableStyle name="ENTITY_STATISTICS-style 135" pivot="0" count="2" xr9:uid="{00000000-0011-0000-FFFF-FFFF86000000}">
      <tableStyleElement type="firstRowStripe" dxfId="806"/>
      <tableStyleElement type="secondRowStripe" dxfId="805"/>
    </tableStyle>
    <tableStyle name="ENTITY_STATISTICS-style 136" pivot="0" count="2" xr9:uid="{00000000-0011-0000-FFFF-FFFF87000000}">
      <tableStyleElement type="firstRowStripe" dxfId="804"/>
      <tableStyleElement type="secondRowStripe" dxfId="803"/>
    </tableStyle>
    <tableStyle name="ENTITY_STATISTICS-style 137" pivot="0" count="2" xr9:uid="{00000000-0011-0000-FFFF-FFFF88000000}">
      <tableStyleElement type="firstRowStripe" dxfId="802"/>
      <tableStyleElement type="secondRowStripe" dxfId="801"/>
    </tableStyle>
    <tableStyle name="ENTITY_STATISTICS-style 138" pivot="0" count="2" xr9:uid="{00000000-0011-0000-FFFF-FFFF89000000}">
      <tableStyleElement type="firstRowStripe" dxfId="800"/>
      <tableStyleElement type="secondRowStripe" dxfId="799"/>
    </tableStyle>
    <tableStyle name="ENTITY_STATISTICS-style 139" pivot="0" count="2" xr9:uid="{00000000-0011-0000-FFFF-FFFF8A000000}">
      <tableStyleElement type="firstRowStripe" dxfId="798"/>
      <tableStyleElement type="secondRowStripe" dxfId="797"/>
    </tableStyle>
    <tableStyle name="ENTITY_STATISTICS-style 140" pivot="0" count="2" xr9:uid="{00000000-0011-0000-FFFF-FFFF8B000000}">
      <tableStyleElement type="firstRowStripe" dxfId="796"/>
      <tableStyleElement type="secondRowStripe" dxfId="795"/>
    </tableStyle>
    <tableStyle name="ENTITY_STATISTICS-style 141" pivot="0" count="2" xr9:uid="{00000000-0011-0000-FFFF-FFFF8C000000}">
      <tableStyleElement type="firstRowStripe" dxfId="794"/>
      <tableStyleElement type="secondRowStripe" dxfId="793"/>
    </tableStyle>
    <tableStyle name="ENTITY_STATISTICS-style 142" pivot="0" count="2" xr9:uid="{00000000-0011-0000-FFFF-FFFF8D000000}">
      <tableStyleElement type="firstRowStripe" dxfId="792"/>
      <tableStyleElement type="secondRowStripe" dxfId="791"/>
    </tableStyle>
    <tableStyle name="ENTITY_STATISTICS-style 143" pivot="0" count="2" xr9:uid="{00000000-0011-0000-FFFF-FFFF8E000000}">
      <tableStyleElement type="firstRowStripe" dxfId="790"/>
      <tableStyleElement type="secondRowStripe" dxfId="789"/>
    </tableStyle>
    <tableStyle name="ENTITY_STATISTICS-style 144" pivot="0" count="2" xr9:uid="{00000000-0011-0000-FFFF-FFFF8F000000}">
      <tableStyleElement type="firstRowStripe" dxfId="788"/>
      <tableStyleElement type="secondRowStripe" dxfId="787"/>
    </tableStyle>
    <tableStyle name="ENTITY_STATISTICS-style 145" pivot="0" count="2" xr9:uid="{00000000-0011-0000-FFFF-FFFF90000000}">
      <tableStyleElement type="firstRowStripe" dxfId="786"/>
      <tableStyleElement type="secondRowStripe" dxfId="785"/>
    </tableStyle>
    <tableStyle name="ENTITY_STATISTICS-style 146" pivot="0" count="2" xr9:uid="{00000000-0011-0000-FFFF-FFFF91000000}">
      <tableStyleElement type="firstRowStripe" dxfId="784"/>
      <tableStyleElement type="secondRowStripe" dxfId="783"/>
    </tableStyle>
    <tableStyle name="ENTITY_STATISTICS-style 147" pivot="0" count="2" xr9:uid="{00000000-0011-0000-FFFF-FFFF92000000}">
      <tableStyleElement type="firstRowStripe" dxfId="782"/>
      <tableStyleElement type="secondRowStripe" dxfId="781"/>
    </tableStyle>
    <tableStyle name="ENTITY_STATISTICS-style 148" pivot="0" count="2" xr9:uid="{00000000-0011-0000-FFFF-FFFF93000000}">
      <tableStyleElement type="firstRowStripe" dxfId="780"/>
      <tableStyleElement type="secondRowStripe" dxfId="779"/>
    </tableStyle>
    <tableStyle name="ENTITY_STATISTICS-style 149" pivot="0" count="2" xr9:uid="{00000000-0011-0000-FFFF-FFFF94000000}">
      <tableStyleElement type="firstRowStripe" dxfId="778"/>
      <tableStyleElement type="secondRowStripe" dxfId="777"/>
    </tableStyle>
    <tableStyle name="ENTITY_STATISTICS-style 150" pivot="0" count="2" xr9:uid="{00000000-0011-0000-FFFF-FFFF95000000}">
      <tableStyleElement type="firstRowStripe" dxfId="776"/>
      <tableStyleElement type="secondRowStripe" dxfId="775"/>
    </tableStyle>
    <tableStyle name="ENTITY_STATISTICS-style 151" pivot="0" count="2" xr9:uid="{00000000-0011-0000-FFFF-FFFF96000000}">
      <tableStyleElement type="firstRowStripe" dxfId="774"/>
      <tableStyleElement type="secondRowStripe" dxfId="773"/>
    </tableStyle>
    <tableStyle name="ENTITY_STATISTICS-style 152" pivot="0" count="2" xr9:uid="{00000000-0011-0000-FFFF-FFFF97000000}">
      <tableStyleElement type="firstRowStripe" dxfId="772"/>
      <tableStyleElement type="secondRowStripe" dxfId="771"/>
    </tableStyle>
    <tableStyle name="ENTITY_STATISTICS-style 153" pivot="0" count="3" xr9:uid="{00000000-0011-0000-FFFF-FFFF98000000}">
      <tableStyleElement type="headerRow" dxfId="770"/>
      <tableStyleElement type="firstRowStripe" dxfId="769"/>
      <tableStyleElement type="secondRowStripe" dxfId="768"/>
    </tableStyle>
    <tableStyle name="ENTITY_STATISTICS-style 154" pivot="0" count="3" xr9:uid="{00000000-0011-0000-FFFF-FFFF99000000}">
      <tableStyleElement type="headerRow" dxfId="767"/>
      <tableStyleElement type="firstRowStripe" dxfId="766"/>
      <tableStyleElement type="secondRowStripe" dxfId="765"/>
    </tableStyle>
    <tableStyle name="ENTITY_STATISTICS-style 155" pivot="0" count="3" xr9:uid="{00000000-0011-0000-FFFF-FFFF9A000000}">
      <tableStyleElement type="headerRow" dxfId="764"/>
      <tableStyleElement type="firstRowStripe" dxfId="763"/>
      <tableStyleElement type="secondRowStripe" dxfId="762"/>
    </tableStyle>
    <tableStyle name="ENTITY_STATISTICS-style 156" pivot="0" count="3" xr9:uid="{00000000-0011-0000-FFFF-FFFF9B000000}">
      <tableStyleElement type="headerRow" dxfId="761"/>
      <tableStyleElement type="firstRowStripe" dxfId="760"/>
      <tableStyleElement type="secondRowStripe" dxfId="759"/>
    </tableStyle>
    <tableStyle name="ENTITY_STATISTICS-style 157" pivot="0" count="3" xr9:uid="{00000000-0011-0000-FFFF-FFFF9C000000}">
      <tableStyleElement type="headerRow" dxfId="758"/>
      <tableStyleElement type="firstRowStripe" dxfId="757"/>
      <tableStyleElement type="secondRowStripe" dxfId="756"/>
    </tableStyle>
    <tableStyle name="ENTITY_STATISTICS-style 158" pivot="0" count="3" xr9:uid="{00000000-0011-0000-FFFF-FFFF9D000000}">
      <tableStyleElement type="headerRow" dxfId="755"/>
      <tableStyleElement type="firstRowStripe" dxfId="754"/>
      <tableStyleElement type="secondRowStripe" dxfId="753"/>
    </tableStyle>
    <tableStyle name="ENTITY_STATISTICS-style 159" pivot="0" count="3" xr9:uid="{00000000-0011-0000-FFFF-FFFF9E000000}">
      <tableStyleElement type="headerRow" dxfId="752"/>
      <tableStyleElement type="firstRowStripe" dxfId="751"/>
      <tableStyleElement type="secondRowStripe" dxfId="750"/>
    </tableStyle>
    <tableStyle name="ENTITY_STATISTICS-style 160" pivot="0" count="3" xr9:uid="{00000000-0011-0000-FFFF-FFFF9F000000}">
      <tableStyleElement type="headerRow" dxfId="749"/>
      <tableStyleElement type="firstRowStripe" dxfId="748"/>
      <tableStyleElement type="secondRowStripe" dxfId="747"/>
    </tableStyle>
    <tableStyle name="ENTITY_STATISTICS-style 161" pivot="0" count="3" xr9:uid="{00000000-0011-0000-FFFF-FFFFA0000000}">
      <tableStyleElement type="headerRow" dxfId="746"/>
      <tableStyleElement type="firstRowStripe" dxfId="745"/>
      <tableStyleElement type="secondRowStripe" dxfId="744"/>
    </tableStyle>
    <tableStyle name="ENTITY_STATISTICS-style 162" pivot="0" count="3" xr9:uid="{00000000-0011-0000-FFFF-FFFFA1000000}">
      <tableStyleElement type="headerRow" dxfId="743"/>
      <tableStyleElement type="firstRowStripe" dxfId="742"/>
      <tableStyleElement type="secondRowStripe" dxfId="741"/>
    </tableStyle>
    <tableStyle name="ENTITY_STATISTICS-style 163" pivot="0" count="3" xr9:uid="{00000000-0011-0000-FFFF-FFFFA2000000}">
      <tableStyleElement type="headerRow" dxfId="740"/>
      <tableStyleElement type="firstRowStripe" dxfId="739"/>
      <tableStyleElement type="secondRowStripe" dxfId="738"/>
    </tableStyle>
    <tableStyle name="ENTITY_STATISTICS-style 164" pivot="0" count="3" xr9:uid="{00000000-0011-0000-FFFF-FFFFA3000000}">
      <tableStyleElement type="headerRow" dxfId="737"/>
      <tableStyleElement type="firstRowStripe" dxfId="736"/>
      <tableStyleElement type="secondRowStripe" dxfId="735"/>
    </tableStyle>
    <tableStyle name="ENTITY_STATISTICS-style 165" pivot="0" count="3" xr9:uid="{00000000-0011-0000-FFFF-FFFFA4000000}">
      <tableStyleElement type="headerRow" dxfId="734"/>
      <tableStyleElement type="firstRowStripe" dxfId="733"/>
      <tableStyleElement type="secondRowStripe" dxfId="732"/>
    </tableStyle>
    <tableStyle name="ENTITY_STATISTICS-style 166" pivot="0" count="3" xr9:uid="{00000000-0011-0000-FFFF-FFFFA5000000}">
      <tableStyleElement type="headerRow" dxfId="731"/>
      <tableStyleElement type="firstRowStripe" dxfId="730"/>
      <tableStyleElement type="secondRowStripe" dxfId="729"/>
    </tableStyle>
    <tableStyle name="ENTITY_STATISTICS-style 167" pivot="0" count="3" xr9:uid="{00000000-0011-0000-FFFF-FFFFA6000000}">
      <tableStyleElement type="headerRow" dxfId="728"/>
      <tableStyleElement type="firstRowStripe" dxfId="727"/>
      <tableStyleElement type="secondRowStripe" dxfId="726"/>
    </tableStyle>
    <tableStyle name="ENTITY_STATISTICS-style 168" pivot="0" count="3" xr9:uid="{00000000-0011-0000-FFFF-FFFFA7000000}">
      <tableStyleElement type="headerRow" dxfId="725"/>
      <tableStyleElement type="firstRowStripe" dxfId="724"/>
      <tableStyleElement type="secondRowStripe" dxfId="723"/>
    </tableStyle>
    <tableStyle name="ENTITY_STATISTICS-style 169" pivot="0" count="3" xr9:uid="{00000000-0011-0000-FFFF-FFFFA8000000}">
      <tableStyleElement type="headerRow" dxfId="722"/>
      <tableStyleElement type="firstRowStripe" dxfId="721"/>
      <tableStyleElement type="secondRowStripe" dxfId="720"/>
    </tableStyle>
    <tableStyle name="ENTITY_STATISTICS-style 170" pivot="0" count="3" xr9:uid="{00000000-0011-0000-FFFF-FFFFA9000000}">
      <tableStyleElement type="headerRow" dxfId="719"/>
      <tableStyleElement type="firstRowStripe" dxfId="718"/>
      <tableStyleElement type="secondRowStripe" dxfId="717"/>
    </tableStyle>
    <tableStyle name="ENTITY_STATISTICS-style 171" pivot="0" count="3" xr9:uid="{00000000-0011-0000-FFFF-FFFFAA000000}">
      <tableStyleElement type="headerRow" dxfId="716"/>
      <tableStyleElement type="firstRowStripe" dxfId="715"/>
      <tableStyleElement type="secondRowStripe" dxfId="714"/>
    </tableStyle>
    <tableStyle name="ENTITY_STATISTICS-style 172" pivot="0" count="3" xr9:uid="{00000000-0011-0000-FFFF-FFFFAB000000}">
      <tableStyleElement type="headerRow" dxfId="713"/>
      <tableStyleElement type="firstRowStripe" dxfId="712"/>
      <tableStyleElement type="secondRowStripe" dxfId="711"/>
    </tableStyle>
    <tableStyle name="ENTITY_STATISTICS-style 173" pivot="0" count="3" xr9:uid="{00000000-0011-0000-FFFF-FFFFAC000000}">
      <tableStyleElement type="headerRow" dxfId="710"/>
      <tableStyleElement type="firstRowStripe" dxfId="709"/>
      <tableStyleElement type="secondRowStripe" dxfId="70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53A8-4611-AD26-BA216DD77D1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53A8-4611-AD26-BA216DD77D14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53A8-4611-AD26-BA216DD77D1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53A8-4611-AD26-BA216DD77D14}"/>
              </c:ext>
            </c:extLst>
          </c:dPt>
          <c:dPt>
            <c:idx val="4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9-53A8-4611-AD26-BA216DD77D14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53A8-4611-AD26-BA216DD77D14}"/>
              </c:ext>
            </c:extLst>
          </c:dPt>
          <c:dPt>
            <c:idx val="6"/>
            <c:bubble3D val="0"/>
            <c:spPr>
              <a:solidFill>
                <a:srgbClr val="8CB9E2"/>
              </a:solidFill>
            </c:spPr>
            <c:extLst>
              <c:ext xmlns:c16="http://schemas.microsoft.com/office/drawing/2014/chart" uri="{C3380CC4-5D6E-409C-BE32-E72D297353CC}">
                <c16:uniqueId val="{0000000D-53A8-4611-AD26-BA216DD77D14}"/>
              </c:ext>
            </c:extLst>
          </c:dPt>
          <c:dPt>
            <c:idx val="7"/>
            <c:bubble3D val="0"/>
            <c:spPr>
              <a:solidFill>
                <a:srgbClr val="F2A46F"/>
              </a:solidFill>
            </c:spPr>
            <c:extLst>
              <c:ext xmlns:c16="http://schemas.microsoft.com/office/drawing/2014/chart" uri="{C3380CC4-5D6E-409C-BE32-E72D297353CC}">
                <c16:uniqueId val="{0000000F-53A8-4611-AD26-BA216DD77D14}"/>
              </c:ext>
            </c:extLst>
          </c:dPt>
          <c:cat>
            <c:strRef>
              <c:f>ENTITY_STATISTICS!$A$29:$A$36</c:f>
              <c:strCache>
                <c:ptCount val="8"/>
                <c:pt idx="0">
                  <c:v>- Same</c:v>
                </c:pt>
                <c:pt idx="1">
                  <c:v>- Only subject changed</c:v>
                </c:pt>
                <c:pt idx="2">
                  <c:v>- Subject and predicate changed</c:v>
                </c:pt>
                <c:pt idx="3">
                  <c:v>- Subject, predicate, and object changed</c:v>
                </c:pt>
                <c:pt idx="4">
                  <c:v>- Only predicate changed</c:v>
                </c:pt>
                <c:pt idx="5">
                  <c:v>- Predicate and object changed</c:v>
                </c:pt>
                <c:pt idx="6">
                  <c:v>- Only object changed</c:v>
                </c:pt>
                <c:pt idx="7">
                  <c:v>- Subject and object changed</c:v>
                </c:pt>
              </c:strCache>
            </c:strRef>
          </c:cat>
          <c:val>
            <c:numRef>
              <c:f>ENTITY_STATISTICS!$B$29:$B$36</c:f>
              <c:numCache>
                <c:formatCode>General</c:formatCode>
                <c:ptCount val="8"/>
                <c:pt idx="0" formatCode="#,##0">
                  <c:v>61.713099999999997</c:v>
                </c:pt>
                <c:pt idx="1">
                  <c:v>1.6846958679999999</c:v>
                </c:pt>
                <c:pt idx="2" formatCode="#,##0">
                  <c:v>0.26600000000000001</c:v>
                </c:pt>
                <c:pt idx="3">
                  <c:v>0</c:v>
                </c:pt>
                <c:pt idx="4" formatCode="#,##0">
                  <c:v>13.087400000000001</c:v>
                </c:pt>
                <c:pt idx="5" formatCode="#,##0">
                  <c:v>3.2275200000000002</c:v>
                </c:pt>
                <c:pt idx="6" formatCode="#,##0">
                  <c:v>18.655799999999999</c:v>
                </c:pt>
                <c:pt idx="7" formatCode="#,##0">
                  <c:v>1.3654900000000001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3A8-4611-AD26-BA216DD77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difference of all initial, different, and same triples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ENTITY_STATISTICS!$A$2</c:f>
              <c:strCache>
                <c:ptCount val="1"/>
                <c:pt idx="0">
                  <c:v>All initial triples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ENTITY_STATISTICS!$B$1:$T$1</c:f>
              <c:strCache>
                <c:ptCount val="19"/>
                <c:pt idx="0">
                  <c:v>Airport</c:v>
                </c:pt>
                <c:pt idx="1">
                  <c:v>Artist</c:v>
                </c:pt>
                <c:pt idx="2">
                  <c:v>Astronaut</c:v>
                </c:pt>
                <c:pt idx="3">
                  <c:v>Athlete</c:v>
                </c:pt>
                <c:pt idx="4">
                  <c:v>Building</c:v>
                </c:pt>
                <c:pt idx="5">
                  <c:v>CelectialBody</c:v>
                </c:pt>
                <c:pt idx="6">
                  <c:v>City</c:v>
                </c:pt>
                <c:pt idx="7">
                  <c:v>ComiCharacter</c:v>
                </c:pt>
                <c:pt idx="8">
                  <c:v>Company</c:v>
                </c:pt>
                <c:pt idx="9">
                  <c:v>Film</c:v>
                </c:pt>
                <c:pt idx="10">
                  <c:v>Food</c:v>
                </c:pt>
                <c:pt idx="11">
                  <c:v>MeansOfTransportation</c:v>
                </c:pt>
                <c:pt idx="12">
                  <c:v>Monument</c:v>
                </c:pt>
                <c:pt idx="13">
                  <c:v>MusicalWork</c:v>
                </c:pt>
                <c:pt idx="14">
                  <c:v>Politician</c:v>
                </c:pt>
                <c:pt idx="15">
                  <c:v>Scientist</c:v>
                </c:pt>
                <c:pt idx="16">
                  <c:v>SportsTeam</c:v>
                </c:pt>
                <c:pt idx="17">
                  <c:v>University</c:v>
                </c:pt>
                <c:pt idx="18">
                  <c:v>WrittenWork</c:v>
                </c:pt>
              </c:strCache>
            </c:strRef>
          </c:cat>
          <c:val>
            <c:numRef>
              <c:f>ENTITY_STATISTICS!$B$2:$T$2</c:f>
              <c:numCache>
                <c:formatCode>General</c:formatCode>
                <c:ptCount val="19"/>
                <c:pt idx="0">
                  <c:v>318</c:v>
                </c:pt>
                <c:pt idx="1">
                  <c:v>317</c:v>
                </c:pt>
                <c:pt idx="2">
                  <c:v>304</c:v>
                </c:pt>
                <c:pt idx="3">
                  <c:v>145</c:v>
                </c:pt>
                <c:pt idx="4">
                  <c:v>210</c:v>
                </c:pt>
                <c:pt idx="5">
                  <c:v>161</c:v>
                </c:pt>
                <c:pt idx="6">
                  <c:v>254</c:v>
                </c:pt>
                <c:pt idx="7">
                  <c:v>106</c:v>
                </c:pt>
                <c:pt idx="8">
                  <c:v>196</c:v>
                </c:pt>
                <c:pt idx="9">
                  <c:v>776</c:v>
                </c:pt>
                <c:pt idx="10">
                  <c:v>210</c:v>
                </c:pt>
                <c:pt idx="11">
                  <c:v>155</c:v>
                </c:pt>
                <c:pt idx="12">
                  <c:v>210</c:v>
                </c:pt>
                <c:pt idx="13">
                  <c:v>825</c:v>
                </c:pt>
                <c:pt idx="14">
                  <c:v>104</c:v>
                </c:pt>
                <c:pt idx="15">
                  <c:v>711</c:v>
                </c:pt>
                <c:pt idx="16">
                  <c:v>203</c:v>
                </c:pt>
                <c:pt idx="17">
                  <c:v>333</c:v>
                </c:pt>
                <c:pt idx="18">
                  <c:v>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658-4151-B27B-75BDF6DF6F81}"/>
            </c:ext>
          </c:extLst>
        </c:ser>
        <c:ser>
          <c:idx val="1"/>
          <c:order val="1"/>
          <c:tx>
            <c:strRef>
              <c:f>ENTITY_STATISTICS!$A$3</c:f>
              <c:strCache>
                <c:ptCount val="1"/>
                <c:pt idx="0">
                  <c:v>All different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ENTITY_STATISTICS!$B$1:$T$1</c:f>
              <c:strCache>
                <c:ptCount val="19"/>
                <c:pt idx="0">
                  <c:v>Airport</c:v>
                </c:pt>
                <c:pt idx="1">
                  <c:v>Artist</c:v>
                </c:pt>
                <c:pt idx="2">
                  <c:v>Astronaut</c:v>
                </c:pt>
                <c:pt idx="3">
                  <c:v>Athlete</c:v>
                </c:pt>
                <c:pt idx="4">
                  <c:v>Building</c:v>
                </c:pt>
                <c:pt idx="5">
                  <c:v>CelectialBody</c:v>
                </c:pt>
                <c:pt idx="6">
                  <c:v>City</c:v>
                </c:pt>
                <c:pt idx="7">
                  <c:v>ComiCharacter</c:v>
                </c:pt>
                <c:pt idx="8">
                  <c:v>Company</c:v>
                </c:pt>
                <c:pt idx="9">
                  <c:v>Film</c:v>
                </c:pt>
                <c:pt idx="10">
                  <c:v>Food</c:v>
                </c:pt>
                <c:pt idx="11">
                  <c:v>MeansOfTransportation</c:v>
                </c:pt>
                <c:pt idx="12">
                  <c:v>Monument</c:v>
                </c:pt>
                <c:pt idx="13">
                  <c:v>MusicalWork</c:v>
                </c:pt>
                <c:pt idx="14">
                  <c:v>Politician</c:v>
                </c:pt>
                <c:pt idx="15">
                  <c:v>Scientist</c:v>
                </c:pt>
                <c:pt idx="16">
                  <c:v>SportsTeam</c:v>
                </c:pt>
                <c:pt idx="17">
                  <c:v>University</c:v>
                </c:pt>
                <c:pt idx="18">
                  <c:v>WrittenWork</c:v>
                </c:pt>
              </c:strCache>
            </c:strRef>
          </c:cat>
          <c:val>
            <c:numRef>
              <c:f>ENTITY_STATISTICS!$B$3:$T$3</c:f>
              <c:numCache>
                <c:formatCode>General</c:formatCode>
                <c:ptCount val="19"/>
                <c:pt idx="0">
                  <c:v>183</c:v>
                </c:pt>
                <c:pt idx="1">
                  <c:v>130</c:v>
                </c:pt>
                <c:pt idx="2">
                  <c:v>140</c:v>
                </c:pt>
                <c:pt idx="3">
                  <c:v>105</c:v>
                </c:pt>
                <c:pt idx="4">
                  <c:v>66</c:v>
                </c:pt>
                <c:pt idx="5">
                  <c:v>99</c:v>
                </c:pt>
                <c:pt idx="6">
                  <c:v>142</c:v>
                </c:pt>
                <c:pt idx="7">
                  <c:v>23</c:v>
                </c:pt>
                <c:pt idx="8">
                  <c:v>133</c:v>
                </c:pt>
                <c:pt idx="9">
                  <c:v>94</c:v>
                </c:pt>
                <c:pt idx="10">
                  <c:v>81</c:v>
                </c:pt>
                <c:pt idx="11">
                  <c:v>53</c:v>
                </c:pt>
                <c:pt idx="12">
                  <c:v>129</c:v>
                </c:pt>
                <c:pt idx="13">
                  <c:v>194</c:v>
                </c:pt>
                <c:pt idx="14">
                  <c:v>92</c:v>
                </c:pt>
                <c:pt idx="15">
                  <c:v>231</c:v>
                </c:pt>
                <c:pt idx="16">
                  <c:v>96</c:v>
                </c:pt>
                <c:pt idx="17">
                  <c:v>156</c:v>
                </c:pt>
                <c:pt idx="18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658-4151-B27B-75BDF6DF6F81}"/>
            </c:ext>
          </c:extLst>
        </c:ser>
        <c:ser>
          <c:idx val="2"/>
          <c:order val="2"/>
          <c:tx>
            <c:strRef>
              <c:f>ENTITY_STATISTICS!$A$4</c:f>
              <c:strCache>
                <c:ptCount val="1"/>
                <c:pt idx="0">
                  <c:v>All same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ENTITY_STATISTICS!$B$1:$T$1</c:f>
              <c:strCache>
                <c:ptCount val="19"/>
                <c:pt idx="0">
                  <c:v>Airport</c:v>
                </c:pt>
                <c:pt idx="1">
                  <c:v>Artist</c:v>
                </c:pt>
                <c:pt idx="2">
                  <c:v>Astronaut</c:v>
                </c:pt>
                <c:pt idx="3">
                  <c:v>Athlete</c:v>
                </c:pt>
                <c:pt idx="4">
                  <c:v>Building</c:v>
                </c:pt>
                <c:pt idx="5">
                  <c:v>CelectialBody</c:v>
                </c:pt>
                <c:pt idx="6">
                  <c:v>City</c:v>
                </c:pt>
                <c:pt idx="7">
                  <c:v>ComiCharacter</c:v>
                </c:pt>
                <c:pt idx="8">
                  <c:v>Company</c:v>
                </c:pt>
                <c:pt idx="9">
                  <c:v>Film</c:v>
                </c:pt>
                <c:pt idx="10">
                  <c:v>Food</c:v>
                </c:pt>
                <c:pt idx="11">
                  <c:v>MeansOfTransportation</c:v>
                </c:pt>
                <c:pt idx="12">
                  <c:v>Monument</c:v>
                </c:pt>
                <c:pt idx="13">
                  <c:v>MusicalWork</c:v>
                </c:pt>
                <c:pt idx="14">
                  <c:v>Politician</c:v>
                </c:pt>
                <c:pt idx="15">
                  <c:v>Scientist</c:v>
                </c:pt>
                <c:pt idx="16">
                  <c:v>SportsTeam</c:v>
                </c:pt>
                <c:pt idx="17">
                  <c:v>University</c:v>
                </c:pt>
                <c:pt idx="18">
                  <c:v>WrittenWork</c:v>
                </c:pt>
              </c:strCache>
            </c:strRef>
          </c:cat>
          <c:val>
            <c:numRef>
              <c:f>ENTITY_STATISTICS!$B$4:$T$4</c:f>
              <c:numCache>
                <c:formatCode>General</c:formatCode>
                <c:ptCount val="19"/>
                <c:pt idx="0">
                  <c:v>135</c:v>
                </c:pt>
                <c:pt idx="1">
                  <c:v>187</c:v>
                </c:pt>
                <c:pt idx="2">
                  <c:v>164</c:v>
                </c:pt>
                <c:pt idx="3">
                  <c:v>40</c:v>
                </c:pt>
                <c:pt idx="4">
                  <c:v>144</c:v>
                </c:pt>
                <c:pt idx="5">
                  <c:v>62</c:v>
                </c:pt>
                <c:pt idx="6">
                  <c:v>112</c:v>
                </c:pt>
                <c:pt idx="7">
                  <c:v>83</c:v>
                </c:pt>
                <c:pt idx="8">
                  <c:v>63</c:v>
                </c:pt>
                <c:pt idx="9">
                  <c:v>682</c:v>
                </c:pt>
                <c:pt idx="10">
                  <c:v>129</c:v>
                </c:pt>
                <c:pt idx="11">
                  <c:v>102</c:v>
                </c:pt>
                <c:pt idx="12">
                  <c:v>81</c:v>
                </c:pt>
                <c:pt idx="13">
                  <c:v>631</c:v>
                </c:pt>
                <c:pt idx="14">
                  <c:v>12</c:v>
                </c:pt>
                <c:pt idx="15">
                  <c:v>480</c:v>
                </c:pt>
                <c:pt idx="16">
                  <c:v>107</c:v>
                </c:pt>
                <c:pt idx="17">
                  <c:v>177</c:v>
                </c:pt>
                <c:pt idx="18">
                  <c:v>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658-4151-B27B-75BDF6DF6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1889994"/>
        <c:axId val="1003921557"/>
      </c:barChart>
      <c:catAx>
        <c:axId val="8418899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Triple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3921557"/>
        <c:crosses val="autoZero"/>
        <c:auto val="1"/>
        <c:lblAlgn val="ctr"/>
        <c:lblOffset val="100"/>
        <c:noMultiLvlLbl val="1"/>
      </c:catAx>
      <c:valAx>
        <c:axId val="10039215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188999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Object changes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w="76200" cmpd="sng">
              <a:solidFill>
                <a:srgbClr val="000000"/>
              </a:solidFill>
            </a:ln>
          </c:spPr>
          <c:invertIfNegative val="1"/>
          <c:cat>
            <c:strRef>
              <c:f>ENTITY_STATISTICS!$B$79:$T$79</c:f>
              <c:strCache>
                <c:ptCount val="19"/>
                <c:pt idx="0">
                  <c:v>Airport</c:v>
                </c:pt>
                <c:pt idx="1">
                  <c:v>Artist</c:v>
                </c:pt>
                <c:pt idx="2">
                  <c:v>Astronaut</c:v>
                </c:pt>
                <c:pt idx="3">
                  <c:v>Athlete</c:v>
                </c:pt>
                <c:pt idx="4">
                  <c:v>Building</c:v>
                </c:pt>
                <c:pt idx="5">
                  <c:v>CelectialBody</c:v>
                </c:pt>
                <c:pt idx="6">
                  <c:v>City</c:v>
                </c:pt>
                <c:pt idx="7">
                  <c:v>ComiCharacter</c:v>
                </c:pt>
                <c:pt idx="8">
                  <c:v>Company</c:v>
                </c:pt>
                <c:pt idx="9">
                  <c:v>Film</c:v>
                </c:pt>
                <c:pt idx="10">
                  <c:v>Food</c:v>
                </c:pt>
                <c:pt idx="11">
                  <c:v>MeansOfTransportation</c:v>
                </c:pt>
                <c:pt idx="12">
                  <c:v>Monument</c:v>
                </c:pt>
                <c:pt idx="13">
                  <c:v>MusicalWork</c:v>
                </c:pt>
                <c:pt idx="14">
                  <c:v>Politician</c:v>
                </c:pt>
                <c:pt idx="15">
                  <c:v>Scientist</c:v>
                </c:pt>
                <c:pt idx="16">
                  <c:v>SportsTeam</c:v>
                </c:pt>
                <c:pt idx="17">
                  <c:v>University</c:v>
                </c:pt>
                <c:pt idx="18">
                  <c:v>WrittenWork</c:v>
                </c:pt>
              </c:strCache>
            </c:strRef>
          </c:cat>
          <c:val>
            <c:numRef>
              <c:f>ENTITY_STATISTICS!$B$80:$T$80</c:f>
              <c:numCache>
                <c:formatCode>General</c:formatCode>
                <c:ptCount val="19"/>
                <c:pt idx="0">
                  <c:v>36</c:v>
                </c:pt>
                <c:pt idx="1">
                  <c:v>7</c:v>
                </c:pt>
                <c:pt idx="2">
                  <c:v>17</c:v>
                </c:pt>
                <c:pt idx="3">
                  <c:v>26</c:v>
                </c:pt>
                <c:pt idx="4">
                  <c:v>32</c:v>
                </c:pt>
                <c:pt idx="5">
                  <c:v>99</c:v>
                </c:pt>
                <c:pt idx="6">
                  <c:v>19</c:v>
                </c:pt>
                <c:pt idx="7">
                  <c:v>0</c:v>
                </c:pt>
                <c:pt idx="8">
                  <c:v>17</c:v>
                </c:pt>
                <c:pt idx="9">
                  <c:v>37</c:v>
                </c:pt>
                <c:pt idx="10">
                  <c:v>7</c:v>
                </c:pt>
                <c:pt idx="11">
                  <c:v>31</c:v>
                </c:pt>
                <c:pt idx="12">
                  <c:v>0</c:v>
                </c:pt>
                <c:pt idx="13">
                  <c:v>2</c:v>
                </c:pt>
                <c:pt idx="14">
                  <c:v>6</c:v>
                </c:pt>
                <c:pt idx="15">
                  <c:v>40</c:v>
                </c:pt>
                <c:pt idx="16">
                  <c:v>55</c:v>
                </c:pt>
                <c:pt idx="17">
                  <c:v>44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76200"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62-4C27-89CC-B7CDD732CA80}"/>
            </c:ext>
          </c:extLst>
        </c:ser>
        <c:ser>
          <c:idx val="1"/>
          <c:order val="1"/>
          <c:spPr>
            <a:solidFill>
              <a:schemeClr val="accent2"/>
            </a:solidFill>
            <a:ln w="76200" cmpd="sng">
              <a:solidFill>
                <a:srgbClr val="000000"/>
              </a:solidFill>
            </a:ln>
          </c:spPr>
          <c:invertIfNegative val="1"/>
          <c:cat>
            <c:strRef>
              <c:f>ENTITY_STATISTICS!$B$79:$T$79</c:f>
              <c:strCache>
                <c:ptCount val="19"/>
                <c:pt idx="0">
                  <c:v>Airport</c:v>
                </c:pt>
                <c:pt idx="1">
                  <c:v>Artist</c:v>
                </c:pt>
                <c:pt idx="2">
                  <c:v>Astronaut</c:v>
                </c:pt>
                <c:pt idx="3">
                  <c:v>Athlete</c:v>
                </c:pt>
                <c:pt idx="4">
                  <c:v>Building</c:v>
                </c:pt>
                <c:pt idx="5">
                  <c:v>CelectialBody</c:v>
                </c:pt>
                <c:pt idx="6">
                  <c:v>City</c:v>
                </c:pt>
                <c:pt idx="7">
                  <c:v>ComiCharacter</c:v>
                </c:pt>
                <c:pt idx="8">
                  <c:v>Company</c:v>
                </c:pt>
                <c:pt idx="9">
                  <c:v>Film</c:v>
                </c:pt>
                <c:pt idx="10">
                  <c:v>Food</c:v>
                </c:pt>
                <c:pt idx="11">
                  <c:v>MeansOfTransportation</c:v>
                </c:pt>
                <c:pt idx="12">
                  <c:v>Monument</c:v>
                </c:pt>
                <c:pt idx="13">
                  <c:v>MusicalWork</c:v>
                </c:pt>
                <c:pt idx="14">
                  <c:v>Politician</c:v>
                </c:pt>
                <c:pt idx="15">
                  <c:v>Scientist</c:v>
                </c:pt>
                <c:pt idx="16">
                  <c:v>SportsTeam</c:v>
                </c:pt>
                <c:pt idx="17">
                  <c:v>University</c:v>
                </c:pt>
                <c:pt idx="18">
                  <c:v>WrittenWork</c:v>
                </c:pt>
              </c:strCache>
            </c:strRef>
          </c:cat>
          <c:val>
            <c:numRef>
              <c:f>ENTITY_STATISTICS!$B$81:$T$81</c:f>
              <c:numCache>
                <c:formatCode>General</c:formatCode>
                <c:ptCount val="19"/>
                <c:pt idx="0">
                  <c:v>31</c:v>
                </c:pt>
                <c:pt idx="1">
                  <c:v>99</c:v>
                </c:pt>
                <c:pt idx="2">
                  <c:v>111</c:v>
                </c:pt>
                <c:pt idx="3">
                  <c:v>21</c:v>
                </c:pt>
                <c:pt idx="4">
                  <c:v>31</c:v>
                </c:pt>
                <c:pt idx="5">
                  <c:v>0</c:v>
                </c:pt>
                <c:pt idx="6">
                  <c:v>87</c:v>
                </c:pt>
                <c:pt idx="7">
                  <c:v>3</c:v>
                </c:pt>
                <c:pt idx="8">
                  <c:v>32</c:v>
                </c:pt>
                <c:pt idx="9">
                  <c:v>38</c:v>
                </c:pt>
                <c:pt idx="10">
                  <c:v>56</c:v>
                </c:pt>
                <c:pt idx="11">
                  <c:v>11</c:v>
                </c:pt>
                <c:pt idx="12">
                  <c:v>43</c:v>
                </c:pt>
                <c:pt idx="13">
                  <c:v>39</c:v>
                </c:pt>
                <c:pt idx="14">
                  <c:v>44</c:v>
                </c:pt>
                <c:pt idx="15">
                  <c:v>119</c:v>
                </c:pt>
                <c:pt idx="16">
                  <c:v>12</c:v>
                </c:pt>
                <c:pt idx="17">
                  <c:v>55</c:v>
                </c:pt>
                <c:pt idx="18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76200"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C62-4C27-89CC-B7CDD732CA80}"/>
            </c:ext>
          </c:extLst>
        </c:ser>
        <c:ser>
          <c:idx val="2"/>
          <c:order val="2"/>
          <c:spPr>
            <a:solidFill>
              <a:schemeClr val="accent3"/>
            </a:solidFill>
            <a:ln w="76200" cmpd="sng">
              <a:solidFill>
                <a:srgbClr val="000000"/>
              </a:solidFill>
            </a:ln>
          </c:spPr>
          <c:invertIfNegative val="1"/>
          <c:cat>
            <c:strRef>
              <c:f>ENTITY_STATISTICS!$B$79:$T$79</c:f>
              <c:strCache>
                <c:ptCount val="19"/>
                <c:pt idx="0">
                  <c:v>Airport</c:v>
                </c:pt>
                <c:pt idx="1">
                  <c:v>Artist</c:v>
                </c:pt>
                <c:pt idx="2">
                  <c:v>Astronaut</c:v>
                </c:pt>
                <c:pt idx="3">
                  <c:v>Athlete</c:v>
                </c:pt>
                <c:pt idx="4">
                  <c:v>Building</c:v>
                </c:pt>
                <c:pt idx="5">
                  <c:v>CelectialBody</c:v>
                </c:pt>
                <c:pt idx="6">
                  <c:v>City</c:v>
                </c:pt>
                <c:pt idx="7">
                  <c:v>ComiCharacter</c:v>
                </c:pt>
                <c:pt idx="8">
                  <c:v>Company</c:v>
                </c:pt>
                <c:pt idx="9">
                  <c:v>Film</c:v>
                </c:pt>
                <c:pt idx="10">
                  <c:v>Food</c:v>
                </c:pt>
                <c:pt idx="11">
                  <c:v>MeansOfTransportation</c:v>
                </c:pt>
                <c:pt idx="12">
                  <c:v>Monument</c:v>
                </c:pt>
                <c:pt idx="13">
                  <c:v>MusicalWork</c:v>
                </c:pt>
                <c:pt idx="14">
                  <c:v>Politician</c:v>
                </c:pt>
                <c:pt idx="15">
                  <c:v>Scientist</c:v>
                </c:pt>
                <c:pt idx="16">
                  <c:v>SportsTeam</c:v>
                </c:pt>
                <c:pt idx="17">
                  <c:v>University</c:v>
                </c:pt>
                <c:pt idx="18">
                  <c:v>WrittenWork</c:v>
                </c:pt>
              </c:strCache>
            </c:strRef>
          </c:cat>
          <c:val>
            <c:numRef>
              <c:f>ENTITY_STATISTICS!$B$82:$T$82</c:f>
              <c:numCache>
                <c:formatCode>General</c:formatCode>
                <c:ptCount val="19"/>
                <c:pt idx="0">
                  <c:v>36</c:v>
                </c:pt>
                <c:pt idx="1">
                  <c:v>7</c:v>
                </c:pt>
                <c:pt idx="2">
                  <c:v>17</c:v>
                </c:pt>
                <c:pt idx="3">
                  <c:v>26</c:v>
                </c:pt>
                <c:pt idx="4">
                  <c:v>32</c:v>
                </c:pt>
                <c:pt idx="5">
                  <c:v>99</c:v>
                </c:pt>
                <c:pt idx="6">
                  <c:v>19</c:v>
                </c:pt>
                <c:pt idx="7">
                  <c:v>0</c:v>
                </c:pt>
                <c:pt idx="8">
                  <c:v>17</c:v>
                </c:pt>
                <c:pt idx="9">
                  <c:v>37</c:v>
                </c:pt>
                <c:pt idx="10">
                  <c:v>7</c:v>
                </c:pt>
                <c:pt idx="11">
                  <c:v>31</c:v>
                </c:pt>
                <c:pt idx="12">
                  <c:v>0</c:v>
                </c:pt>
                <c:pt idx="13">
                  <c:v>2</c:v>
                </c:pt>
                <c:pt idx="14">
                  <c:v>6</c:v>
                </c:pt>
                <c:pt idx="15">
                  <c:v>40</c:v>
                </c:pt>
                <c:pt idx="16">
                  <c:v>55</c:v>
                </c:pt>
                <c:pt idx="17">
                  <c:v>44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76200"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C62-4C27-89CC-B7CDD732C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7196032"/>
        <c:axId val="1697524794"/>
      </c:barChart>
      <c:catAx>
        <c:axId val="21071960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7524794"/>
        <c:crosses val="autoZero"/>
        <c:auto val="1"/>
        <c:lblAlgn val="ctr"/>
        <c:lblOffset val="100"/>
        <c:noMultiLvlLbl val="1"/>
      </c:catAx>
      <c:valAx>
        <c:axId val="16975247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719603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Predicate changes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ENTITY_STATISTICS!$A$105</c:f>
              <c:strCache>
                <c:ptCount val="1"/>
                <c:pt idx="0">
                  <c:v>Type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ENTITY_STATISTICS!$B$105:$V$105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5BC-4F40-B3D4-406F94F009AE}"/>
            </c:ext>
          </c:extLst>
        </c:ser>
        <c:ser>
          <c:idx val="1"/>
          <c:order val="1"/>
          <c:tx>
            <c:strRef>
              <c:f>ENTITY_STATISTICS!$A$106</c:f>
              <c:strCache>
                <c:ptCount val="1"/>
                <c:pt idx="0">
                  <c:v>Predicate changes</c:v>
                </c:pt>
              </c:strCache>
            </c:strRef>
          </c:tx>
          <c:invertIfNegative val="0"/>
          <c:val>
            <c:numRef>
              <c:f>ENTITY_STATISTICS!$B$106:$V$106</c:f>
              <c:numCache>
                <c:formatCode>General</c:formatCode>
                <c:ptCount val="21"/>
                <c:pt idx="0">
                  <c:v>153</c:v>
                </c:pt>
                <c:pt idx="1">
                  <c:v>36</c:v>
                </c:pt>
                <c:pt idx="2">
                  <c:v>15</c:v>
                </c:pt>
                <c:pt idx="3">
                  <c:v>50</c:v>
                </c:pt>
                <c:pt idx="4">
                  <c:v>3</c:v>
                </c:pt>
                <c:pt idx="5">
                  <c:v>0</c:v>
                </c:pt>
                <c:pt idx="6">
                  <c:v>61</c:v>
                </c:pt>
                <c:pt idx="7">
                  <c:v>20</c:v>
                </c:pt>
                <c:pt idx="8">
                  <c:v>45</c:v>
                </c:pt>
                <c:pt idx="9">
                  <c:v>36</c:v>
                </c:pt>
                <c:pt idx="10">
                  <c:v>28</c:v>
                </c:pt>
                <c:pt idx="11">
                  <c:v>15</c:v>
                </c:pt>
                <c:pt idx="12">
                  <c:v>86</c:v>
                </c:pt>
                <c:pt idx="13">
                  <c:v>155</c:v>
                </c:pt>
                <c:pt idx="14">
                  <c:v>8</c:v>
                </c:pt>
                <c:pt idx="15">
                  <c:v>104</c:v>
                </c:pt>
                <c:pt idx="16">
                  <c:v>29</c:v>
                </c:pt>
                <c:pt idx="17">
                  <c:v>81</c:v>
                </c:pt>
                <c:pt idx="18">
                  <c:v>10</c:v>
                </c:pt>
                <c:pt idx="19">
                  <c:v>935</c:v>
                </c:pt>
                <c:pt idx="20">
                  <c:v>16.580954069870543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BC-4F40-B3D4-406F94F00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016090"/>
        <c:axId val="620273113"/>
      </c:barChart>
      <c:catAx>
        <c:axId val="1780160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0273113"/>
        <c:crosses val="autoZero"/>
        <c:auto val="1"/>
        <c:lblAlgn val="ctr"/>
        <c:lblOffset val="100"/>
        <c:noMultiLvlLbl val="1"/>
      </c:catAx>
      <c:valAx>
        <c:axId val="6202731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01609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- Subject and predicate changed,   - Subject, predicate, and object changed,   - Only predicate changed,   - Predicate and object changed,   - Only object changed…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ENTITY_STATISTICS!$A$131</c:f>
              <c:strCache>
                <c:ptCount val="1"/>
                <c:pt idx="0">
                  <c:v>  - Only subject changed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ENTITY_STATISTICS!$B$131:$T$131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334-4024-A873-17A0A2DA257F}"/>
            </c:ext>
          </c:extLst>
        </c:ser>
        <c:ser>
          <c:idx val="1"/>
          <c:order val="1"/>
          <c:tx>
            <c:strRef>
              <c:f>ENTITY_STATISTICS!$A$132</c:f>
              <c:strCache>
                <c:ptCount val="1"/>
                <c:pt idx="0">
                  <c:v>  - Subject and predicate changed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ENTITY_STATISTICS!$B$132:$T$132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334-4024-A873-17A0A2DA257F}"/>
            </c:ext>
          </c:extLst>
        </c:ser>
        <c:ser>
          <c:idx val="2"/>
          <c:order val="2"/>
          <c:tx>
            <c:strRef>
              <c:f>ENTITY_STATISTICS!$A$133</c:f>
              <c:strCache>
                <c:ptCount val="1"/>
                <c:pt idx="0">
                  <c:v>  - Subject, predicate, and object changed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ENTITY_STATISTICS!$B$133:$T$133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334-4024-A873-17A0A2DA257F}"/>
            </c:ext>
          </c:extLst>
        </c:ser>
        <c:ser>
          <c:idx val="3"/>
          <c:order val="3"/>
          <c:tx>
            <c:strRef>
              <c:f>ENTITY_STATISTICS!$A$134</c:f>
              <c:strCache>
                <c:ptCount val="1"/>
                <c:pt idx="0">
                  <c:v>  - Only predicate changed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ENTITY_STATISTICS!$B$134:$T$134</c:f>
              <c:numCache>
                <c:formatCode>General</c:formatCode>
                <c:ptCount val="19"/>
                <c:pt idx="0">
                  <c:v>116</c:v>
                </c:pt>
                <c:pt idx="1">
                  <c:v>24</c:v>
                </c:pt>
                <c:pt idx="2">
                  <c:v>12</c:v>
                </c:pt>
                <c:pt idx="3">
                  <c:v>49</c:v>
                </c:pt>
                <c:pt idx="4">
                  <c:v>3</c:v>
                </c:pt>
                <c:pt idx="5">
                  <c:v>0</c:v>
                </c:pt>
                <c:pt idx="6">
                  <c:v>36</c:v>
                </c:pt>
                <c:pt idx="7">
                  <c:v>20</c:v>
                </c:pt>
                <c:pt idx="8">
                  <c:v>25</c:v>
                </c:pt>
                <c:pt idx="9">
                  <c:v>19</c:v>
                </c:pt>
                <c:pt idx="10">
                  <c:v>18</c:v>
                </c:pt>
                <c:pt idx="11">
                  <c:v>11</c:v>
                </c:pt>
                <c:pt idx="12">
                  <c:v>86</c:v>
                </c:pt>
                <c:pt idx="13">
                  <c:v>153</c:v>
                </c:pt>
                <c:pt idx="14">
                  <c:v>0</c:v>
                </c:pt>
                <c:pt idx="15">
                  <c:v>72</c:v>
                </c:pt>
                <c:pt idx="16">
                  <c:v>29</c:v>
                </c:pt>
                <c:pt idx="17">
                  <c:v>57</c:v>
                </c:pt>
                <c:pt idx="18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334-4024-A873-17A0A2DA257F}"/>
            </c:ext>
          </c:extLst>
        </c:ser>
        <c:ser>
          <c:idx val="4"/>
          <c:order val="4"/>
          <c:tx>
            <c:strRef>
              <c:f>ENTITY_STATISTICS!$A$135</c:f>
              <c:strCache>
                <c:ptCount val="1"/>
                <c:pt idx="0">
                  <c:v>  - Predicate and object changed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ENTITY_STATISTICS!$B$135:$T$135</c:f>
              <c:numCache>
                <c:formatCode>General</c:formatCode>
                <c:ptCount val="19"/>
                <c:pt idx="0">
                  <c:v>37</c:v>
                </c:pt>
                <c:pt idx="1">
                  <c:v>12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25</c:v>
                </c:pt>
                <c:pt idx="7">
                  <c:v>0</c:v>
                </c:pt>
                <c:pt idx="8">
                  <c:v>13</c:v>
                </c:pt>
                <c:pt idx="9">
                  <c:v>17</c:v>
                </c:pt>
                <c:pt idx="10">
                  <c:v>10</c:v>
                </c:pt>
                <c:pt idx="11">
                  <c:v>4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32</c:v>
                </c:pt>
                <c:pt idx="16">
                  <c:v>0</c:v>
                </c:pt>
                <c:pt idx="17">
                  <c:v>24</c:v>
                </c:pt>
                <c:pt idx="18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334-4024-A873-17A0A2DA257F}"/>
            </c:ext>
          </c:extLst>
        </c:ser>
        <c:ser>
          <c:idx val="5"/>
          <c:order val="5"/>
          <c:tx>
            <c:strRef>
              <c:f>ENTITY_STATISTICS!$A$136</c:f>
              <c:strCache>
                <c:ptCount val="1"/>
                <c:pt idx="0">
                  <c:v>  - Only object changed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ENTITY_STATISTICS!$B$136:$T$136</c:f>
              <c:numCache>
                <c:formatCode>General</c:formatCode>
                <c:ptCount val="19"/>
                <c:pt idx="0">
                  <c:v>30</c:v>
                </c:pt>
                <c:pt idx="1">
                  <c:v>94</c:v>
                </c:pt>
                <c:pt idx="2">
                  <c:v>125</c:v>
                </c:pt>
                <c:pt idx="3">
                  <c:v>31</c:v>
                </c:pt>
                <c:pt idx="4">
                  <c:v>63</c:v>
                </c:pt>
                <c:pt idx="5">
                  <c:v>99</c:v>
                </c:pt>
                <c:pt idx="6">
                  <c:v>81</c:v>
                </c:pt>
                <c:pt idx="7">
                  <c:v>3</c:v>
                </c:pt>
                <c:pt idx="8">
                  <c:v>25</c:v>
                </c:pt>
                <c:pt idx="9">
                  <c:v>58</c:v>
                </c:pt>
                <c:pt idx="10">
                  <c:v>53</c:v>
                </c:pt>
                <c:pt idx="11">
                  <c:v>38</c:v>
                </c:pt>
                <c:pt idx="12">
                  <c:v>43</c:v>
                </c:pt>
                <c:pt idx="13">
                  <c:v>38</c:v>
                </c:pt>
                <c:pt idx="14">
                  <c:v>0</c:v>
                </c:pt>
                <c:pt idx="15">
                  <c:v>127</c:v>
                </c:pt>
                <c:pt idx="16">
                  <c:v>67</c:v>
                </c:pt>
                <c:pt idx="17">
                  <c:v>75</c:v>
                </c:pt>
                <c:pt idx="18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6334-4024-A873-17A0A2DA257F}"/>
            </c:ext>
          </c:extLst>
        </c:ser>
        <c:ser>
          <c:idx val="6"/>
          <c:order val="6"/>
          <c:tx>
            <c:strRef>
              <c:f>ENTITY_STATISTICS!$A$137</c:f>
              <c:strCache>
                <c:ptCount val="1"/>
                <c:pt idx="0">
                  <c:v>  - Subject and object changed</c:v>
                </c:pt>
              </c:strCache>
            </c:strRef>
          </c:tx>
          <c:invertIfNegative val="0"/>
          <c:val>
            <c:numRef>
              <c:f>ENTITY_STATISTICS!$B$137:$T$137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50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34-4024-A873-17A0A2DA2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9372708"/>
        <c:axId val="648262648"/>
      </c:barChart>
      <c:catAx>
        <c:axId val="4593727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 - Only subject changed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8262648"/>
        <c:crosses val="autoZero"/>
        <c:auto val="1"/>
        <c:lblAlgn val="ctr"/>
        <c:lblOffset val="100"/>
        <c:noMultiLvlLbl val="1"/>
      </c:catAx>
      <c:valAx>
        <c:axId val="6482626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937270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14F4-4F06-AF0C-CABDB98AA91D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14F4-4F06-AF0C-CABDB98AA91D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14F4-4F06-AF0C-CABDB98AA91D}"/>
              </c:ext>
            </c:extLst>
          </c:dPt>
          <c:cat>
            <c:strRef>
              <c:f>ENTITY_STATISTICS!$A$161:$A$163</c:f>
              <c:strCache>
                <c:ptCount val="3"/>
                <c:pt idx="0">
                  <c:v>All initial triples</c:v>
                </c:pt>
                <c:pt idx="1">
                  <c:v>All different</c:v>
                </c:pt>
                <c:pt idx="2">
                  <c:v>All same</c:v>
                </c:pt>
              </c:strCache>
            </c:strRef>
          </c:cat>
          <c:val>
            <c:numRef>
              <c:f>ENTITY_STATISTICS!$B$161:$B$163</c:f>
              <c:numCache>
                <c:formatCode>General</c:formatCode>
                <c:ptCount val="3"/>
                <c:pt idx="0">
                  <c:v>5639</c:v>
                </c:pt>
                <c:pt idx="1">
                  <c:v>2159</c:v>
                </c:pt>
                <c:pt idx="2">
                  <c:v>3480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F4-4F06-AF0C-CABDB98AA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B537-459D-B7D4-D8B5A36897C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B537-459D-B7D4-D8B5A36897C1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B537-459D-B7D4-D8B5A36897C1}"/>
              </c:ext>
            </c:extLst>
          </c:dPt>
          <c:cat>
            <c:strRef>
              <c:f>ENTITY_STATISTICS!$A$166:$A$168</c:f>
              <c:strCache>
                <c:ptCount val="3"/>
                <c:pt idx="0">
                  <c:v>  - URI changes</c:v>
                </c:pt>
                <c:pt idx="1">
                  <c:v>  - Fact changes</c:v>
                </c:pt>
                <c:pt idx="2">
                  <c:v>  - Redirects (label changed, URI same)</c:v>
                </c:pt>
              </c:strCache>
            </c:strRef>
          </c:cat>
          <c:val>
            <c:numRef>
              <c:f>ENTITY_STATISTICS!$B$166:$B$168</c:f>
              <c:numCache>
                <c:formatCode>General</c:formatCode>
                <c:ptCount val="3"/>
                <c:pt idx="0">
                  <c:v>175</c:v>
                </c:pt>
                <c:pt idx="1">
                  <c:v>12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37-459D-B7D4-D8B5A3689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15EE-42C8-B89F-C7D8D33556E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15EE-42C8-B89F-C7D8D33556E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15EE-42C8-B89F-C7D8D33556E5}"/>
              </c:ext>
            </c:extLst>
          </c:dPt>
          <c:cat>
            <c:strRef>
              <c:f>ENTITY_STATISTICS!$A$171:$A$173</c:f>
              <c:strCache>
                <c:ptCount val="3"/>
                <c:pt idx="0">
                  <c:v>  - URI changes</c:v>
                </c:pt>
                <c:pt idx="1">
                  <c:v>  - Fact changes</c:v>
                </c:pt>
                <c:pt idx="2">
                  <c:v>  - Redirects (label changed, URI same)</c:v>
                </c:pt>
              </c:strCache>
            </c:strRef>
          </c:cat>
          <c:val>
            <c:numRef>
              <c:f>ENTITY_STATISTICS!$B$171:$B$173</c:f>
              <c:numCache>
                <c:formatCode>General</c:formatCode>
                <c:ptCount val="3"/>
                <c:pt idx="0">
                  <c:v>475</c:v>
                </c:pt>
                <c:pt idx="1">
                  <c:v>836</c:v>
                </c:pt>
                <c:pt idx="2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EE-42C8-B89F-C7D8D3355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A6CB-4AC4-A97D-080369C3D712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A6CB-4AC4-A97D-080369C3D712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A6CB-4AC4-A97D-080369C3D71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A6CB-4AC4-A97D-080369C3D712}"/>
              </c:ext>
            </c:extLst>
          </c:dPt>
          <c:dPt>
            <c:idx val="4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9-A6CB-4AC4-A97D-080369C3D712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A6CB-4AC4-A97D-080369C3D712}"/>
              </c:ext>
            </c:extLst>
          </c:dPt>
          <c:dPt>
            <c:idx val="6"/>
            <c:bubble3D val="0"/>
            <c:spPr>
              <a:solidFill>
                <a:srgbClr val="8CB9E2"/>
              </a:solidFill>
            </c:spPr>
            <c:extLst>
              <c:ext xmlns:c16="http://schemas.microsoft.com/office/drawing/2014/chart" uri="{C3380CC4-5D6E-409C-BE32-E72D297353CC}">
                <c16:uniqueId val="{0000000D-A6CB-4AC4-A97D-080369C3D712}"/>
              </c:ext>
            </c:extLst>
          </c:dPt>
          <c:cat>
            <c:strRef>
              <c:f>ENTITY_STATISTICS!$A$178:$A$184</c:f>
              <c:strCache>
                <c:ptCount val="7"/>
                <c:pt idx="0">
                  <c:v>  - Only subject changed</c:v>
                </c:pt>
                <c:pt idx="1">
                  <c:v>  - Subject and predicate changed</c:v>
                </c:pt>
                <c:pt idx="2">
                  <c:v>  - Subject, predicate, and object changed</c:v>
                </c:pt>
                <c:pt idx="3">
                  <c:v>  - Only predicate changed</c:v>
                </c:pt>
                <c:pt idx="4">
                  <c:v>  - Predicate and object changed</c:v>
                </c:pt>
                <c:pt idx="5">
                  <c:v>  - Only object changed</c:v>
                </c:pt>
                <c:pt idx="6">
                  <c:v>  - Subject and object changed</c:v>
                </c:pt>
              </c:strCache>
            </c:strRef>
          </c:cat>
          <c:val>
            <c:numRef>
              <c:f>ENTITY_STATISTICS!$B$178:$B$184</c:f>
              <c:numCache>
                <c:formatCode>General</c:formatCode>
                <c:ptCount val="7"/>
                <c:pt idx="0">
                  <c:v>95</c:v>
                </c:pt>
                <c:pt idx="1">
                  <c:v>15</c:v>
                </c:pt>
                <c:pt idx="2">
                  <c:v>0</c:v>
                </c:pt>
                <c:pt idx="3">
                  <c:v>738</c:v>
                </c:pt>
                <c:pt idx="4">
                  <c:v>182</c:v>
                </c:pt>
                <c:pt idx="5">
                  <c:v>1052</c:v>
                </c:pt>
                <c:pt idx="6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6CB-4AC4-A97D-080369C3D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image" Target="../media/image1.png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28</xdr:row>
      <xdr:rowOff>19050</xdr:rowOff>
    </xdr:from>
    <xdr:ext cx="8315325" cy="3533775"/>
    <xdr:graphicFrame macro="">
      <xdr:nvGraphicFramePr>
        <xdr:cNvPr id="588785039" name="Chart 1" title="Γράφημα">
          <a:extLst>
            <a:ext uri="{FF2B5EF4-FFF2-40B4-BE49-F238E27FC236}">
              <a16:creationId xmlns:a16="http://schemas.microsoft.com/office/drawing/2014/main" id="{00000000-0008-0000-0000-00008F251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194</xdr:row>
      <xdr:rowOff>76200</xdr:rowOff>
    </xdr:from>
    <xdr:ext cx="5715000" cy="3533775"/>
    <xdr:graphicFrame macro="">
      <xdr:nvGraphicFramePr>
        <xdr:cNvPr id="1364980292" name="Chart 2" title="Chart">
          <a:extLst>
            <a:ext uri="{FF2B5EF4-FFF2-40B4-BE49-F238E27FC236}">
              <a16:creationId xmlns:a16="http://schemas.microsoft.com/office/drawing/2014/main" id="{00000000-0008-0000-0000-000044F25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19050</xdr:colOff>
      <xdr:row>57</xdr:row>
      <xdr:rowOff>38100</xdr:rowOff>
    </xdr:from>
    <xdr:ext cx="5715000" cy="3533775"/>
    <xdr:pic>
      <xdr:nvPicPr>
        <xdr:cNvPr id="139199180" name="Chart3" title="Chart">
          <a:extLst>
            <a:ext uri="{FF2B5EF4-FFF2-40B4-BE49-F238E27FC236}">
              <a16:creationId xmlns:a16="http://schemas.microsoft.com/office/drawing/2014/main" id="{00000000-0008-0000-0000-0000CC024C0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83</xdr:row>
      <xdr:rowOff>123825</xdr:rowOff>
    </xdr:from>
    <xdr:ext cx="5715000" cy="3533775"/>
    <xdr:graphicFrame macro="">
      <xdr:nvGraphicFramePr>
        <xdr:cNvPr id="356875614" name="Chart 4" title="Chart">
          <a:extLst>
            <a:ext uri="{FF2B5EF4-FFF2-40B4-BE49-F238E27FC236}">
              <a16:creationId xmlns:a16="http://schemas.microsoft.com/office/drawing/2014/main" id="{00000000-0008-0000-0000-00005E7D4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247650</xdr:colOff>
      <xdr:row>107</xdr:row>
      <xdr:rowOff>28575</xdr:rowOff>
    </xdr:from>
    <xdr:ext cx="5715000" cy="3533775"/>
    <xdr:graphicFrame macro="">
      <xdr:nvGraphicFramePr>
        <xdr:cNvPr id="1338449879" name="Chart 5" title="Chart">
          <a:extLst>
            <a:ext uri="{FF2B5EF4-FFF2-40B4-BE49-F238E27FC236}">
              <a16:creationId xmlns:a16="http://schemas.microsoft.com/office/drawing/2014/main" id="{00000000-0008-0000-0000-0000D71FC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180975</xdr:colOff>
      <xdr:row>138</xdr:row>
      <xdr:rowOff>28575</xdr:rowOff>
    </xdr:from>
    <xdr:ext cx="5715000" cy="3533775"/>
    <xdr:graphicFrame macro="">
      <xdr:nvGraphicFramePr>
        <xdr:cNvPr id="1593933849" name="Chart 6" title="Chart">
          <a:extLst>
            <a:ext uri="{FF2B5EF4-FFF2-40B4-BE49-F238E27FC236}">
              <a16:creationId xmlns:a16="http://schemas.microsoft.com/office/drawing/2014/main" id="{00000000-0008-0000-0000-000019800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6</xdr:col>
      <xdr:colOff>190500</xdr:colOff>
      <xdr:row>194</xdr:row>
      <xdr:rowOff>76200</xdr:rowOff>
    </xdr:from>
    <xdr:ext cx="5715000" cy="3533775"/>
    <xdr:graphicFrame macro="">
      <xdr:nvGraphicFramePr>
        <xdr:cNvPr id="421595802" name="Chart 7" title="Chart">
          <a:extLst>
            <a:ext uri="{FF2B5EF4-FFF2-40B4-BE49-F238E27FC236}">
              <a16:creationId xmlns:a16="http://schemas.microsoft.com/office/drawing/2014/main" id="{00000000-0008-0000-0000-00009A0A2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6</xdr:col>
      <xdr:colOff>581025</xdr:colOff>
      <xdr:row>56</xdr:row>
      <xdr:rowOff>114300</xdr:rowOff>
    </xdr:from>
    <xdr:ext cx="5715000" cy="3533775"/>
    <xdr:graphicFrame macro="">
      <xdr:nvGraphicFramePr>
        <xdr:cNvPr id="1474808635" name="Chart 8" title="Chart">
          <a:extLst>
            <a:ext uri="{FF2B5EF4-FFF2-40B4-BE49-F238E27FC236}">
              <a16:creationId xmlns:a16="http://schemas.microsoft.com/office/drawing/2014/main" id="{00000000-0008-0000-0000-00003BCBE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6</xdr:col>
      <xdr:colOff>628650</xdr:colOff>
      <xdr:row>83</xdr:row>
      <xdr:rowOff>123825</xdr:rowOff>
    </xdr:from>
    <xdr:ext cx="5715000" cy="3533775"/>
    <xdr:graphicFrame macro="">
      <xdr:nvGraphicFramePr>
        <xdr:cNvPr id="907937924" name="Chart 9" title="Chart">
          <a:extLst>
            <a:ext uri="{FF2B5EF4-FFF2-40B4-BE49-F238E27FC236}">
              <a16:creationId xmlns:a16="http://schemas.microsoft.com/office/drawing/2014/main" id="{00000000-0008-0000-0000-000084081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6</xdr:col>
      <xdr:colOff>581025</xdr:colOff>
      <xdr:row>138</xdr:row>
      <xdr:rowOff>28575</xdr:rowOff>
    </xdr:from>
    <xdr:ext cx="5715000" cy="3533775"/>
    <xdr:graphicFrame macro="">
      <xdr:nvGraphicFramePr>
        <xdr:cNvPr id="587135426" name="Chart 10" title="Chart">
          <a:extLst>
            <a:ext uri="{FF2B5EF4-FFF2-40B4-BE49-F238E27FC236}">
              <a16:creationId xmlns:a16="http://schemas.microsoft.com/office/drawing/2014/main" id="{00000000-0008-0000-0000-0000C2F9F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25" headerRowDxfId="705" dataDxfId="703" totalsRowDxfId="704">
  <tableColumns count="2">
    <tableColumn id="1" xr3:uid="{00000000-0010-0000-0000-000001000000}" name="Type" dataDxfId="707"/>
    <tableColumn id="2" xr3:uid="{00000000-0010-0000-0000-000002000000}" name="Airport" dataDxfId="706"/>
  </tableColumns>
  <tableStyleInfo name="ENTITY_STATISTIC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:C25" headerRowDxfId="701" dataDxfId="699" totalsRowDxfId="700">
  <tableColumns count="1">
    <tableColumn id="1" xr3:uid="{00000000-0010-0000-0100-000001000000}" name="Artist" dataDxfId="702"/>
  </tableColumns>
  <tableStyleInfo name="ENTITY_STATISTIC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1:D25" headerRowDxfId="697" dataDxfId="695" totalsRowDxfId="696">
  <tableColumns count="1">
    <tableColumn id="1" xr3:uid="{00000000-0010-0000-0200-000001000000}" name="Astronaut" dataDxfId="698"/>
  </tableColumns>
  <tableStyleInfo name="ENTITY_STATISTIC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E1:E25" headerRowDxfId="693" dataDxfId="691" totalsRowDxfId="692">
  <tableColumns count="1">
    <tableColumn id="1" xr3:uid="{00000000-0010-0000-0300-000001000000}" name="Athlete" dataDxfId="694"/>
  </tableColumns>
  <tableStyleInfo name="ENTITY_STATISTIC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F1:F25" headerRowDxfId="689" dataDxfId="687" totalsRowDxfId="688">
  <tableColumns count="1">
    <tableColumn id="1" xr3:uid="{00000000-0010-0000-0400-000001000000}" name="Building" dataDxfId="690"/>
  </tableColumns>
  <tableStyleInfo name="ENTITY_STATISTIC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G1:G25" headerRowDxfId="685" dataDxfId="683" totalsRowDxfId="684">
  <tableColumns count="1">
    <tableColumn id="1" xr3:uid="{00000000-0010-0000-0500-000001000000}" name="CelectialBody" dataDxfId="686"/>
  </tableColumns>
  <tableStyleInfo name="ENTITY_STATISTIC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H1:H25" headerRowDxfId="681" dataDxfId="679" totalsRowDxfId="680">
  <tableColumns count="1">
    <tableColumn id="1" xr3:uid="{00000000-0010-0000-0600-000001000000}" name="City" dataDxfId="682"/>
  </tableColumns>
  <tableStyleInfo name="ENTITY_STATISTIC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I1:I25" headerRowDxfId="677" dataDxfId="675" totalsRowDxfId="676">
  <tableColumns count="1">
    <tableColumn id="1" xr3:uid="{00000000-0010-0000-0700-000001000000}" name="ComiCharacter" dataDxfId="678"/>
  </tableColumns>
  <tableStyleInfo name="ENTITY_STATISTIC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J1:J25" headerRowDxfId="673" dataDxfId="671" totalsRowDxfId="672">
  <tableColumns count="1">
    <tableColumn id="1" xr3:uid="{00000000-0010-0000-0800-000001000000}" name="Company" dataDxfId="674"/>
  </tableColumns>
  <tableStyleInfo name="ENTITY_STATISTIC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K1:K25" headerRowDxfId="669" dataDxfId="667" totalsRowDxfId="668">
  <tableColumns count="1">
    <tableColumn id="1" xr3:uid="{00000000-0010-0000-0900-000001000000}" name="Film" dataDxfId="670"/>
  </tableColumns>
  <tableStyleInfo name="ENTITY_STATISTIC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L1:L25" headerRowDxfId="665" dataDxfId="663" totalsRowDxfId="664">
  <tableColumns count="1">
    <tableColumn id="1" xr3:uid="{00000000-0010-0000-0A00-000001000000}" name="Food" dataDxfId="666"/>
  </tableColumns>
  <tableStyleInfo name="ENTITY_STATISTIC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M1:M25" headerRowDxfId="661" dataDxfId="659" totalsRowDxfId="660">
  <tableColumns count="1">
    <tableColumn id="1" xr3:uid="{00000000-0010-0000-0B00-000001000000}" name="MeansOfTransportation" dataDxfId="662"/>
  </tableColumns>
  <tableStyleInfo name="ENTITY_STATISTIC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N1:N25" headerRowDxfId="657" dataDxfId="655" totalsRowDxfId="656">
  <tableColumns count="1">
    <tableColumn id="1" xr3:uid="{00000000-0010-0000-0C00-000001000000}" name="Monument" dataDxfId="658"/>
  </tableColumns>
  <tableStyleInfo name="ENTITY_STATISTICS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O1:O25" headerRowDxfId="653" dataDxfId="651" totalsRowDxfId="652">
  <tableColumns count="1">
    <tableColumn id="1" xr3:uid="{00000000-0010-0000-0D00-000001000000}" name="MusicalWork" dataDxfId="654"/>
  </tableColumns>
  <tableStyleInfo name="ENTITY_STATISTICS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P1:P25" headerRowDxfId="649" dataDxfId="647" totalsRowDxfId="648">
  <tableColumns count="1">
    <tableColumn id="1" xr3:uid="{00000000-0010-0000-0E00-000001000000}" name="Politician" dataDxfId="650"/>
  </tableColumns>
  <tableStyleInfo name="ENTITY_STATISTICS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Q1:Q25" headerRowDxfId="645" dataDxfId="643" totalsRowDxfId="644">
  <tableColumns count="1">
    <tableColumn id="1" xr3:uid="{00000000-0010-0000-0F00-000001000000}" name="Scientist" dataDxfId="646"/>
  </tableColumns>
  <tableStyleInfo name="ENTITY_STATISTICS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R1:R25" headerRowDxfId="641" dataDxfId="639" totalsRowDxfId="640">
  <tableColumns count="1">
    <tableColumn id="1" xr3:uid="{00000000-0010-0000-1000-000001000000}" name="SportsTeam" dataDxfId="642"/>
  </tableColumns>
  <tableStyleInfo name="ENTITY_STATISTICS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S1:S25" headerRowDxfId="637" dataDxfId="635" totalsRowDxfId="636">
  <tableColumns count="1">
    <tableColumn id="1" xr3:uid="{00000000-0010-0000-1100-000001000000}" name="University" dataDxfId="638"/>
  </tableColumns>
  <tableStyleInfo name="ENTITY_STATISTICS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T1:V25" headerRowDxfId="631" dataDxfId="629" totalsRowDxfId="630">
  <tableColumns count="3">
    <tableColumn id="1" xr3:uid="{00000000-0010-0000-1200-000001000000}" name="WrittenWork" dataDxfId="634"/>
    <tableColumn id="2" xr3:uid="{00000000-0010-0000-1200-000002000000}" name="Sum" dataDxfId="633"/>
    <tableColumn id="3" xr3:uid="{00000000-0010-0000-1200-000003000000}" name="Percentage (%)" dataDxfId="632"/>
  </tableColumns>
  <tableStyleInfo name="ENTITY_STATISTICS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A51:B54" headerRowDxfId="626" dataDxfId="624" totalsRowDxfId="625">
  <tableColumns count="2">
    <tableColumn id="1" xr3:uid="{00000000-0010-0000-1300-000001000000}" name="Type" dataDxfId="628"/>
    <tableColumn id="2" xr3:uid="{00000000-0010-0000-1300-000002000000}" name="Airport" dataDxfId="627"/>
  </tableColumns>
  <tableStyleInfo name="ENTITY_STATISTICS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C51:C54" headerRowDxfId="622" dataDxfId="620" totalsRowDxfId="621">
  <tableColumns count="1">
    <tableColumn id="1" xr3:uid="{00000000-0010-0000-1400-000001000000}" name="Artist" dataDxfId="623"/>
  </tableColumns>
  <tableStyleInfo name="ENTITY_STATISTICS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D51:D54" headerRowDxfId="618" dataDxfId="616" totalsRowDxfId="617">
  <tableColumns count="1">
    <tableColumn id="1" xr3:uid="{00000000-0010-0000-1500-000001000000}" name="Astronaut" dataDxfId="619"/>
  </tableColumns>
  <tableStyleInfo name="ENTITY_STATISTICS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E51:E54" headerRowDxfId="614" dataDxfId="612" totalsRowDxfId="613">
  <tableColumns count="1">
    <tableColumn id="1" xr3:uid="{00000000-0010-0000-1600-000001000000}" name="Athlete" dataDxfId="615"/>
  </tableColumns>
  <tableStyleInfo name="ENTITY_STATISTICS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F51:F54" headerRowDxfId="610" dataDxfId="608" totalsRowDxfId="609">
  <tableColumns count="1">
    <tableColumn id="1" xr3:uid="{00000000-0010-0000-1700-000001000000}" name="Building" dataDxfId="611"/>
  </tableColumns>
  <tableStyleInfo name="ENTITY_STATISTICS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G51:G54" headerRowDxfId="606" dataDxfId="604" totalsRowDxfId="605">
  <tableColumns count="1">
    <tableColumn id="1" xr3:uid="{00000000-0010-0000-1800-000001000000}" name="CelectialBody" dataDxfId="607"/>
  </tableColumns>
  <tableStyleInfo name="ENTITY_STATISTICS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H51:H54" headerRowDxfId="602" dataDxfId="600" totalsRowDxfId="601">
  <tableColumns count="1">
    <tableColumn id="1" xr3:uid="{00000000-0010-0000-1900-000001000000}" name="City" dataDxfId="603"/>
  </tableColumns>
  <tableStyleInfo name="ENTITY_STATISTICS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I51:I54" headerRowDxfId="598" dataDxfId="596" totalsRowDxfId="597">
  <tableColumns count="1">
    <tableColumn id="1" xr3:uid="{00000000-0010-0000-1A00-000001000000}" name="ComiCharacter" dataDxfId="599"/>
  </tableColumns>
  <tableStyleInfo name="ENTITY_STATISTICS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J51:J54" headerRowDxfId="594" dataDxfId="592" totalsRowDxfId="593">
  <tableColumns count="1">
    <tableColumn id="1" xr3:uid="{00000000-0010-0000-1B00-000001000000}" name="Company" dataDxfId="595"/>
  </tableColumns>
  <tableStyleInfo name="ENTITY_STATISTICS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K51:K54" headerRowDxfId="590" dataDxfId="588" totalsRowDxfId="589">
  <tableColumns count="1">
    <tableColumn id="1" xr3:uid="{00000000-0010-0000-1C00-000001000000}" name="Film" dataDxfId="591"/>
  </tableColumns>
  <tableStyleInfo name="ENTITY_STATISTICS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L51:L54" headerRowDxfId="586" dataDxfId="584" totalsRowDxfId="585">
  <tableColumns count="1">
    <tableColumn id="1" xr3:uid="{00000000-0010-0000-1D00-000001000000}" name="Food" dataDxfId="587"/>
  </tableColumns>
  <tableStyleInfo name="ENTITY_STATISTICS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M51:M54" headerRowDxfId="582" dataDxfId="580" totalsRowDxfId="581">
  <tableColumns count="1">
    <tableColumn id="1" xr3:uid="{00000000-0010-0000-1E00-000001000000}" name="MeansOfTransportation" dataDxfId="583"/>
  </tableColumns>
  <tableStyleInfo name="ENTITY_STATISTICS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N51:N54" headerRowDxfId="578" dataDxfId="576" totalsRowDxfId="577">
  <tableColumns count="1">
    <tableColumn id="1" xr3:uid="{00000000-0010-0000-1F00-000001000000}" name="Monument" dataDxfId="579"/>
  </tableColumns>
  <tableStyleInfo name="ENTITY_STATISTICS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O51:O54" headerRowDxfId="574" dataDxfId="572" totalsRowDxfId="573">
  <tableColumns count="1">
    <tableColumn id="1" xr3:uid="{00000000-0010-0000-2000-000001000000}" name="MusicalWork" dataDxfId="575"/>
  </tableColumns>
  <tableStyleInfo name="ENTITY_STATISTICS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P51:P54" headerRowDxfId="570" dataDxfId="568" totalsRowDxfId="569">
  <tableColumns count="1">
    <tableColumn id="1" xr3:uid="{00000000-0010-0000-2100-000001000000}" name="Politician" dataDxfId="571"/>
  </tableColumns>
  <tableStyleInfo name="ENTITY_STATISTICS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Q51:Q54" headerRowDxfId="566" dataDxfId="564" totalsRowDxfId="565">
  <tableColumns count="1">
    <tableColumn id="1" xr3:uid="{00000000-0010-0000-2200-000001000000}" name="Scientist" dataDxfId="567"/>
  </tableColumns>
  <tableStyleInfo name="ENTITY_STATISTICS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R51:R54" headerRowDxfId="562" dataDxfId="560" totalsRowDxfId="561">
  <tableColumns count="1">
    <tableColumn id="1" xr3:uid="{00000000-0010-0000-2300-000001000000}" name="SportsTeam" dataDxfId="563"/>
  </tableColumns>
  <tableStyleInfo name="ENTITY_STATISTICS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S51:S54" headerRowDxfId="558" dataDxfId="556" totalsRowDxfId="557">
  <tableColumns count="1">
    <tableColumn id="1" xr3:uid="{00000000-0010-0000-2400-000001000000}" name="University" dataDxfId="559"/>
  </tableColumns>
  <tableStyleInfo name="ENTITY_STATISTICS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T51:T54" headerRowDxfId="554" dataDxfId="552" totalsRowDxfId="553">
  <tableColumns count="1">
    <tableColumn id="1" xr3:uid="{00000000-0010-0000-2500-000001000000}" name="WrittenWork" dataDxfId="555"/>
  </tableColumns>
  <tableStyleInfo name="ENTITY_STATISTICS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A79:B79" headerRowCount="0" headerRowDxfId="549" dataDxfId="547" totalsRowDxfId="548">
  <tableColumns count="2">
    <tableColumn id="1" xr3:uid="{00000000-0010-0000-2600-000001000000}" name="Column1" dataDxfId="551"/>
    <tableColumn id="2" xr3:uid="{00000000-0010-0000-2600-000002000000}" name="Column2" dataDxfId="550"/>
  </tableColumns>
  <tableStyleInfo name="ENTITY_STATISTICS-style 39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C79" headerRowCount="0" headerRowDxfId="545" dataDxfId="543" totalsRowDxfId="544">
  <tableColumns count="1">
    <tableColumn id="1" xr3:uid="{00000000-0010-0000-2700-000001000000}" name="Column1" dataDxfId="546"/>
  </tableColumns>
  <tableStyleInfo name="ENTITY_STATISTICS-style 40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D79" headerRowCount="0" headerRowDxfId="541" dataDxfId="539" totalsRowDxfId="540">
  <tableColumns count="1">
    <tableColumn id="1" xr3:uid="{00000000-0010-0000-2800-000001000000}" name="Column1" dataDxfId="542"/>
  </tableColumns>
  <tableStyleInfo name="ENTITY_STATISTICS-style 41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E79" headerRowCount="0" headerRowDxfId="537" dataDxfId="535" totalsRowDxfId="536">
  <tableColumns count="1">
    <tableColumn id="1" xr3:uid="{00000000-0010-0000-2900-000001000000}" name="Column1" dataDxfId="538"/>
  </tableColumns>
  <tableStyleInfo name="ENTITY_STATISTICS-style 4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F79" headerRowCount="0" headerRowDxfId="533" dataDxfId="531" totalsRowDxfId="532">
  <tableColumns count="1">
    <tableColumn id="1" xr3:uid="{00000000-0010-0000-2A00-000001000000}" name="Column1" dataDxfId="534"/>
  </tableColumns>
  <tableStyleInfo name="ENTITY_STATISTICS-style 4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G79" headerRowCount="0" headerRowDxfId="529" dataDxfId="527" totalsRowDxfId="528">
  <tableColumns count="1">
    <tableColumn id="1" xr3:uid="{00000000-0010-0000-2B00-000001000000}" name="Column1" dataDxfId="530"/>
  </tableColumns>
  <tableStyleInfo name="ENTITY_STATISTICS-style 4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H79" headerRowCount="0" headerRowDxfId="525" dataDxfId="523" totalsRowDxfId="524">
  <tableColumns count="1">
    <tableColumn id="1" xr3:uid="{00000000-0010-0000-2C00-000001000000}" name="Column1" dataDxfId="526"/>
  </tableColumns>
  <tableStyleInfo name="ENTITY_STATISTICS-style 4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I79" headerRowCount="0" headerRowDxfId="521" dataDxfId="519" totalsRowDxfId="520">
  <tableColumns count="1">
    <tableColumn id="1" xr3:uid="{00000000-0010-0000-2D00-000001000000}" name="Column1" dataDxfId="522"/>
  </tableColumns>
  <tableStyleInfo name="ENTITY_STATISTICS-style 4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J79" headerRowCount="0" headerRowDxfId="517" dataDxfId="515" totalsRowDxfId="516">
  <tableColumns count="1">
    <tableColumn id="1" xr3:uid="{00000000-0010-0000-2E00-000001000000}" name="Column1" dataDxfId="518"/>
  </tableColumns>
  <tableStyleInfo name="ENTITY_STATISTICS-style 4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K79" headerRowCount="0" headerRowDxfId="513" dataDxfId="511" totalsRowDxfId="512">
  <tableColumns count="1">
    <tableColumn id="1" xr3:uid="{00000000-0010-0000-2F00-000001000000}" name="Column1" dataDxfId="514"/>
  </tableColumns>
  <tableStyleInfo name="ENTITY_STATISTICS-style 4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L79" headerRowCount="0" headerRowDxfId="509" dataDxfId="507" totalsRowDxfId="508">
  <tableColumns count="1">
    <tableColumn id="1" xr3:uid="{00000000-0010-0000-3000-000001000000}" name="Column1" dataDxfId="510"/>
  </tableColumns>
  <tableStyleInfo name="ENTITY_STATISTICS-style 49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M79" headerRowCount="0" headerRowDxfId="505" dataDxfId="503" totalsRowDxfId="504">
  <tableColumns count="1">
    <tableColumn id="1" xr3:uid="{00000000-0010-0000-3100-000001000000}" name="Column1" dataDxfId="506"/>
  </tableColumns>
  <tableStyleInfo name="ENTITY_STATISTICS-style 50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N79" headerRowCount="0" headerRowDxfId="501" dataDxfId="499" totalsRowDxfId="500">
  <tableColumns count="1">
    <tableColumn id="1" xr3:uid="{00000000-0010-0000-3200-000001000000}" name="Column1" dataDxfId="502"/>
  </tableColumns>
  <tableStyleInfo name="ENTITY_STATISTICS-style 51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O79" headerRowCount="0" headerRowDxfId="497" dataDxfId="495" totalsRowDxfId="496">
  <tableColumns count="1">
    <tableColumn id="1" xr3:uid="{00000000-0010-0000-3300-000001000000}" name="Column1" dataDxfId="498"/>
  </tableColumns>
  <tableStyleInfo name="ENTITY_STATISTICS-style 5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P79" headerRowCount="0" headerRowDxfId="493" dataDxfId="491" totalsRowDxfId="492">
  <tableColumns count="1">
    <tableColumn id="1" xr3:uid="{00000000-0010-0000-3400-000001000000}" name="Column1" dataDxfId="494"/>
  </tableColumns>
  <tableStyleInfo name="ENTITY_STATISTICS-style 5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Q79" headerRowCount="0" headerRowDxfId="489" dataDxfId="487" totalsRowDxfId="488">
  <tableColumns count="1">
    <tableColumn id="1" xr3:uid="{00000000-0010-0000-3500-000001000000}" name="Column1" dataDxfId="490"/>
  </tableColumns>
  <tableStyleInfo name="ENTITY_STATISTICS-style 5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R79" headerRowCount="0" headerRowDxfId="485" dataDxfId="483" totalsRowDxfId="484">
  <tableColumns count="1">
    <tableColumn id="1" xr3:uid="{00000000-0010-0000-3600-000001000000}" name="Column1" dataDxfId="486"/>
  </tableColumns>
  <tableStyleInfo name="ENTITY_STATISTICS-style 5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S79" headerRowCount="0" headerRowDxfId="481" dataDxfId="479" totalsRowDxfId="480">
  <tableColumns count="1">
    <tableColumn id="1" xr3:uid="{00000000-0010-0000-3700-000001000000}" name="Column1" dataDxfId="482"/>
  </tableColumns>
  <tableStyleInfo name="ENTITY_STATISTICS-style 5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T79" headerRowCount="0" headerRowDxfId="477" dataDxfId="475" totalsRowDxfId="476">
  <tableColumns count="1">
    <tableColumn id="1" xr3:uid="{00000000-0010-0000-3800-000001000000}" name="Column1" dataDxfId="478"/>
  </tableColumns>
  <tableStyleInfo name="ENTITY_STATISTICS-style 5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A80:B82" headerRowCount="0" headerRowDxfId="472" dataDxfId="470" totalsRowDxfId="471">
  <tableColumns count="2">
    <tableColumn id="1" xr3:uid="{00000000-0010-0000-3900-000001000000}" name="Column1" dataDxfId="474"/>
    <tableColumn id="2" xr3:uid="{00000000-0010-0000-3900-000002000000}" name="Column2" dataDxfId="473"/>
  </tableColumns>
  <tableStyleInfo name="ENTITY_STATISTICS-style 58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C80:C82" headerRowCount="0" headerRowDxfId="468" dataDxfId="466" totalsRowDxfId="467">
  <tableColumns count="1">
    <tableColumn id="1" xr3:uid="{00000000-0010-0000-3A00-000001000000}" name="Column1" dataDxfId="469"/>
  </tableColumns>
  <tableStyleInfo name="ENTITY_STATISTICS-style 59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D80:D82" headerRowCount="0" headerRowDxfId="464" dataDxfId="462" totalsRowDxfId="463">
  <tableColumns count="1">
    <tableColumn id="1" xr3:uid="{00000000-0010-0000-3B00-000001000000}" name="Column1" dataDxfId="465"/>
  </tableColumns>
  <tableStyleInfo name="ENTITY_STATISTICS-style 60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E80:E82" headerRowCount="0" headerRowDxfId="460" dataDxfId="458" totalsRowDxfId="459">
  <tableColumns count="1">
    <tableColumn id="1" xr3:uid="{00000000-0010-0000-3C00-000001000000}" name="Column1" dataDxfId="461"/>
  </tableColumns>
  <tableStyleInfo name="ENTITY_STATISTICS-style 61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F80:F82" headerRowCount="0" headerRowDxfId="456" dataDxfId="454" totalsRowDxfId="455">
  <tableColumns count="1">
    <tableColumn id="1" xr3:uid="{00000000-0010-0000-3D00-000001000000}" name="Column1" dataDxfId="457"/>
  </tableColumns>
  <tableStyleInfo name="ENTITY_STATISTICS-style 62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G80:G82" headerRowCount="0" headerRowDxfId="452" dataDxfId="450" totalsRowDxfId="451">
  <tableColumns count="1">
    <tableColumn id="1" xr3:uid="{00000000-0010-0000-3E00-000001000000}" name="Column1" dataDxfId="453"/>
  </tableColumns>
  <tableStyleInfo name="ENTITY_STATISTICS-style 63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H80:H82" headerRowCount="0" headerRowDxfId="448" dataDxfId="446" totalsRowDxfId="447">
  <tableColumns count="1">
    <tableColumn id="1" xr3:uid="{00000000-0010-0000-3F00-000001000000}" name="Column1" dataDxfId="449"/>
  </tableColumns>
  <tableStyleInfo name="ENTITY_STATISTICS-style 64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I80:I82" headerRowCount="0" headerRowDxfId="444" dataDxfId="442" totalsRowDxfId="443">
  <tableColumns count="1">
    <tableColumn id="1" xr3:uid="{00000000-0010-0000-4000-000001000000}" name="Column1" dataDxfId="445"/>
  </tableColumns>
  <tableStyleInfo name="ENTITY_STATISTICS-style 65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J80:J82" headerRowCount="0" headerRowDxfId="440" dataDxfId="438" totalsRowDxfId="439">
  <tableColumns count="1">
    <tableColumn id="1" xr3:uid="{00000000-0010-0000-4100-000001000000}" name="Column1" dataDxfId="441"/>
  </tableColumns>
  <tableStyleInfo name="ENTITY_STATISTICS-style 66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K80:K82" headerRowCount="0" headerRowDxfId="436" dataDxfId="434" totalsRowDxfId="435">
  <tableColumns count="1">
    <tableColumn id="1" xr3:uid="{00000000-0010-0000-4200-000001000000}" name="Column1" dataDxfId="437"/>
  </tableColumns>
  <tableStyleInfo name="ENTITY_STATISTICS-style 67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L80:L82" headerRowCount="0" headerRowDxfId="432" dataDxfId="430" totalsRowDxfId="431">
  <tableColumns count="1">
    <tableColumn id="1" xr3:uid="{00000000-0010-0000-4300-000001000000}" name="Column1" dataDxfId="433"/>
  </tableColumns>
  <tableStyleInfo name="ENTITY_STATISTICS-style 68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M80:M82" headerRowCount="0" headerRowDxfId="428" dataDxfId="426" totalsRowDxfId="427">
  <tableColumns count="1">
    <tableColumn id="1" xr3:uid="{00000000-0010-0000-4400-000001000000}" name="Column1" dataDxfId="429"/>
  </tableColumns>
  <tableStyleInfo name="ENTITY_STATISTICS-style 69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N80:N82" headerRowCount="0" headerRowDxfId="424" dataDxfId="422" totalsRowDxfId="423">
  <tableColumns count="1">
    <tableColumn id="1" xr3:uid="{00000000-0010-0000-4500-000001000000}" name="Column1" dataDxfId="425"/>
  </tableColumns>
  <tableStyleInfo name="ENTITY_STATISTICS-style 70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O80:O82" headerRowCount="0" headerRowDxfId="420" dataDxfId="418" totalsRowDxfId="419">
  <tableColumns count="1">
    <tableColumn id="1" xr3:uid="{00000000-0010-0000-4600-000001000000}" name="Column1" dataDxfId="421"/>
  </tableColumns>
  <tableStyleInfo name="ENTITY_STATISTICS-style 71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P80:P82" headerRowCount="0" headerRowDxfId="416" dataDxfId="414" totalsRowDxfId="415">
  <tableColumns count="1">
    <tableColumn id="1" xr3:uid="{00000000-0010-0000-4700-000001000000}" name="Column1" dataDxfId="417"/>
  </tableColumns>
  <tableStyleInfo name="ENTITY_STATISTICS-style 72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Q80:Q82" headerRowCount="0" headerRowDxfId="412" dataDxfId="410" totalsRowDxfId="411">
  <tableColumns count="1">
    <tableColumn id="1" xr3:uid="{00000000-0010-0000-4800-000001000000}" name="Column1" dataDxfId="413"/>
  </tableColumns>
  <tableStyleInfo name="ENTITY_STATISTICS-style 73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R80:R82" headerRowCount="0" headerRowDxfId="408" dataDxfId="406" totalsRowDxfId="407">
  <tableColumns count="1">
    <tableColumn id="1" xr3:uid="{00000000-0010-0000-4900-000001000000}" name="Column1" dataDxfId="409"/>
  </tableColumns>
  <tableStyleInfo name="ENTITY_STATISTICS-style 74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S80:S82" headerRowCount="0" headerRowDxfId="404" dataDxfId="402" totalsRowDxfId="403">
  <tableColumns count="1">
    <tableColumn id="1" xr3:uid="{00000000-0010-0000-4A00-000001000000}" name="Column1" dataDxfId="405"/>
  </tableColumns>
  <tableStyleInfo name="ENTITY_STATISTICS-style 75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T80:T82" headerRowCount="0" headerRowDxfId="400" dataDxfId="398" totalsRowDxfId="399">
  <tableColumns count="1">
    <tableColumn id="1" xr3:uid="{00000000-0010-0000-4B00-000001000000}" name="Column1" dataDxfId="401"/>
  </tableColumns>
  <tableStyleInfo name="ENTITY_STATISTICS-style 76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A105:B105" headerRowCount="0" headerRowDxfId="395" dataDxfId="393" totalsRowDxfId="394">
  <tableColumns count="2">
    <tableColumn id="1" xr3:uid="{00000000-0010-0000-4C00-000001000000}" name="Column1" dataDxfId="397"/>
    <tableColumn id="2" xr3:uid="{00000000-0010-0000-4C00-000002000000}" name="Column2" dataDxfId="396"/>
  </tableColumns>
  <tableStyleInfo name="ENTITY_STATISTICS-style 7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C105" headerRowCount="0" headerRowDxfId="391" dataDxfId="389" totalsRowDxfId="390">
  <tableColumns count="1">
    <tableColumn id="1" xr3:uid="{00000000-0010-0000-4D00-000001000000}" name="Column1" dataDxfId="392"/>
  </tableColumns>
  <tableStyleInfo name="ENTITY_STATISTICS-style 7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D105" headerRowCount="0" headerRowDxfId="387" dataDxfId="385" totalsRowDxfId="386">
  <tableColumns count="1">
    <tableColumn id="1" xr3:uid="{00000000-0010-0000-4E00-000001000000}" name="Column1" dataDxfId="388"/>
  </tableColumns>
  <tableStyleInfo name="ENTITY_STATISTICS-style 79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E105" headerRowCount="0" headerRowDxfId="383" dataDxfId="381" totalsRowDxfId="382">
  <tableColumns count="1">
    <tableColumn id="1" xr3:uid="{00000000-0010-0000-4F00-000001000000}" name="Column1" dataDxfId="384"/>
  </tableColumns>
  <tableStyleInfo name="ENTITY_STATISTICS-style 80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F105" headerRowCount="0" headerRowDxfId="379" dataDxfId="377" totalsRowDxfId="378">
  <tableColumns count="1">
    <tableColumn id="1" xr3:uid="{00000000-0010-0000-5000-000001000000}" name="Column1" dataDxfId="380"/>
  </tableColumns>
  <tableStyleInfo name="ENTITY_STATISTICS-style 81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G105" headerRowCount="0" headerRowDxfId="375" dataDxfId="373" totalsRowDxfId="374">
  <tableColumns count="1">
    <tableColumn id="1" xr3:uid="{00000000-0010-0000-5100-000001000000}" name="Column1" dataDxfId="376"/>
  </tableColumns>
  <tableStyleInfo name="ENTITY_STATISTICS-style 8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3" displayName="Table_83" ref="H105" headerRowCount="0" headerRowDxfId="371" dataDxfId="369" totalsRowDxfId="370">
  <tableColumns count="1">
    <tableColumn id="1" xr3:uid="{00000000-0010-0000-5200-000001000000}" name="Column1" dataDxfId="372"/>
  </tableColumns>
  <tableStyleInfo name="ENTITY_STATISTICS-style 8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4" displayName="Table_84" ref="I105" headerRowCount="0" headerRowDxfId="367" dataDxfId="365" totalsRowDxfId="366">
  <tableColumns count="1">
    <tableColumn id="1" xr3:uid="{00000000-0010-0000-5300-000001000000}" name="Column1" dataDxfId="368"/>
  </tableColumns>
  <tableStyleInfo name="ENTITY_STATISTICS-style 8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5" displayName="Table_85" ref="J105" headerRowCount="0" headerRowDxfId="363" dataDxfId="361" totalsRowDxfId="362">
  <tableColumns count="1">
    <tableColumn id="1" xr3:uid="{00000000-0010-0000-5400-000001000000}" name="Column1" dataDxfId="364"/>
  </tableColumns>
  <tableStyleInfo name="ENTITY_STATISTICS-style 8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6" displayName="Table_86" ref="K105" headerRowCount="0" headerRowDxfId="359" dataDxfId="357" totalsRowDxfId="358">
  <tableColumns count="1">
    <tableColumn id="1" xr3:uid="{00000000-0010-0000-5500-000001000000}" name="Column1" dataDxfId="360"/>
  </tableColumns>
  <tableStyleInfo name="ENTITY_STATISTICS-style 8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7" displayName="Table_87" ref="L105" headerRowCount="0" headerRowDxfId="355" dataDxfId="353" totalsRowDxfId="354">
  <tableColumns count="1">
    <tableColumn id="1" xr3:uid="{00000000-0010-0000-5600-000001000000}" name="Column1" dataDxfId="356"/>
  </tableColumns>
  <tableStyleInfo name="ENTITY_STATISTICS-style 8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8" displayName="Table_88" ref="M105" headerRowCount="0" headerRowDxfId="351" dataDxfId="349" totalsRowDxfId="350">
  <tableColumns count="1">
    <tableColumn id="1" xr3:uid="{00000000-0010-0000-5700-000001000000}" name="Column1" dataDxfId="352"/>
  </tableColumns>
  <tableStyleInfo name="ENTITY_STATISTICS-style 8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9" displayName="Table_89" ref="N105" headerRowCount="0" headerRowDxfId="347" dataDxfId="345" totalsRowDxfId="346">
  <tableColumns count="1">
    <tableColumn id="1" xr3:uid="{00000000-0010-0000-5800-000001000000}" name="Column1" dataDxfId="348"/>
  </tableColumns>
  <tableStyleInfo name="ENTITY_STATISTICS-style 89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90" displayName="Table_90" ref="O105" headerRowCount="0" headerRowDxfId="343" dataDxfId="341" totalsRowDxfId="342">
  <tableColumns count="1">
    <tableColumn id="1" xr3:uid="{00000000-0010-0000-5900-000001000000}" name="Column1" dataDxfId="344"/>
  </tableColumns>
  <tableStyleInfo name="ENTITY_STATISTICS-style 90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91" displayName="Table_91" ref="P105" headerRowCount="0" headerRowDxfId="339" dataDxfId="337" totalsRowDxfId="338">
  <tableColumns count="1">
    <tableColumn id="1" xr3:uid="{00000000-0010-0000-5A00-000001000000}" name="Column1" dataDxfId="340"/>
  </tableColumns>
  <tableStyleInfo name="ENTITY_STATISTICS-style 91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92" displayName="Table_92" ref="Q105" headerRowCount="0" headerRowDxfId="335" dataDxfId="333" totalsRowDxfId="334">
  <tableColumns count="1">
    <tableColumn id="1" xr3:uid="{00000000-0010-0000-5B00-000001000000}" name="Column1" dataDxfId="336"/>
  </tableColumns>
  <tableStyleInfo name="ENTITY_STATISTICS-style 9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93" displayName="Table_93" ref="R105" headerRowCount="0" headerRowDxfId="331" dataDxfId="329" totalsRowDxfId="330">
  <tableColumns count="1">
    <tableColumn id="1" xr3:uid="{00000000-0010-0000-5C00-000001000000}" name="Column1" dataDxfId="332"/>
  </tableColumns>
  <tableStyleInfo name="ENTITY_STATISTICS-style 9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4" displayName="Table_94" ref="S105" headerRowCount="0" headerRowDxfId="327" dataDxfId="325" totalsRowDxfId="326">
  <tableColumns count="1">
    <tableColumn id="1" xr3:uid="{00000000-0010-0000-5D00-000001000000}" name="Column1" dataDxfId="328"/>
  </tableColumns>
  <tableStyleInfo name="ENTITY_STATISTICS-style 9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5" displayName="Table_95" ref="T105" headerRowCount="0" headerRowDxfId="323" dataDxfId="321" totalsRowDxfId="322">
  <tableColumns count="1">
    <tableColumn id="1" xr3:uid="{00000000-0010-0000-5E00-000001000000}" name="Column1" dataDxfId="324"/>
  </tableColumns>
  <tableStyleInfo name="ENTITY_STATISTICS-style 9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6" displayName="Table_96" ref="A106:B106" headerRowCount="0" headerRowDxfId="318" dataDxfId="316" totalsRowDxfId="317">
  <tableColumns count="2">
    <tableColumn id="1" xr3:uid="{00000000-0010-0000-5F00-000001000000}" name="Column1" dataDxfId="320"/>
    <tableColumn id="2" xr3:uid="{00000000-0010-0000-5F00-000002000000}" name="Column2" dataDxfId="319"/>
  </tableColumns>
  <tableStyleInfo name="ENTITY_STATISTICS-style 96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7" displayName="Table_97" ref="C106" headerRowCount="0" headerRowDxfId="314" dataDxfId="312" totalsRowDxfId="313">
  <tableColumns count="1">
    <tableColumn id="1" xr3:uid="{00000000-0010-0000-6000-000001000000}" name="Column1" dataDxfId="315"/>
  </tableColumns>
  <tableStyleInfo name="ENTITY_STATISTICS-style 97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8" displayName="Table_98" ref="D106" headerRowCount="0" headerRowDxfId="310" dataDxfId="308" totalsRowDxfId="309">
  <tableColumns count="1">
    <tableColumn id="1" xr3:uid="{00000000-0010-0000-6100-000001000000}" name="Column1" dataDxfId="311"/>
  </tableColumns>
  <tableStyleInfo name="ENTITY_STATISTICS-style 98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9" displayName="Table_99" ref="E106" headerRowCount="0" headerRowDxfId="306" dataDxfId="304" totalsRowDxfId="305">
  <tableColumns count="1">
    <tableColumn id="1" xr3:uid="{00000000-0010-0000-6200-000001000000}" name="Column1" dataDxfId="307"/>
  </tableColumns>
  <tableStyleInfo name="ENTITY_STATISTICS-style 99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100" displayName="Table_100" ref="F106" headerRowCount="0" headerRowDxfId="302" dataDxfId="300" totalsRowDxfId="301">
  <tableColumns count="1">
    <tableColumn id="1" xr3:uid="{00000000-0010-0000-6300-000001000000}" name="Column1" dataDxfId="303"/>
  </tableColumns>
  <tableStyleInfo name="ENTITY_STATISTICS-style 100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Table_101" displayName="Table_101" ref="G106" headerRowCount="0" headerRowDxfId="298" dataDxfId="296" totalsRowDxfId="297">
  <tableColumns count="1">
    <tableColumn id="1" xr3:uid="{00000000-0010-0000-6400-000001000000}" name="Column1" dataDxfId="299"/>
  </tableColumns>
  <tableStyleInfo name="ENTITY_STATISTICS-style 101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_102" displayName="Table_102" ref="H106" headerRowCount="0" headerRowDxfId="294" dataDxfId="292" totalsRowDxfId="293">
  <tableColumns count="1">
    <tableColumn id="1" xr3:uid="{00000000-0010-0000-6500-000001000000}" name="Column1" dataDxfId="295"/>
  </tableColumns>
  <tableStyleInfo name="ENTITY_STATISTICS-style 102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_103" displayName="Table_103" ref="I106" headerRowCount="0" headerRowDxfId="290" dataDxfId="288" totalsRowDxfId="289">
  <tableColumns count="1">
    <tableColumn id="1" xr3:uid="{00000000-0010-0000-6600-000001000000}" name="Column1" dataDxfId="291"/>
  </tableColumns>
  <tableStyleInfo name="ENTITY_STATISTICS-style 103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_104" displayName="Table_104" ref="J106" headerRowCount="0" headerRowDxfId="286" dataDxfId="284" totalsRowDxfId="285">
  <tableColumns count="1">
    <tableColumn id="1" xr3:uid="{00000000-0010-0000-6700-000001000000}" name="Column1" dataDxfId="287"/>
  </tableColumns>
  <tableStyleInfo name="ENTITY_STATISTICS-style 104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_105" displayName="Table_105" ref="K106" headerRowCount="0" headerRowDxfId="282" dataDxfId="280" totalsRowDxfId="281">
  <tableColumns count="1">
    <tableColumn id="1" xr3:uid="{00000000-0010-0000-6800-000001000000}" name="Column1" dataDxfId="283"/>
  </tableColumns>
  <tableStyleInfo name="ENTITY_STATISTICS-style 105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Table_106" displayName="Table_106" ref="L106" headerRowCount="0" headerRowDxfId="278" dataDxfId="276" totalsRowDxfId="277">
  <tableColumns count="1">
    <tableColumn id="1" xr3:uid="{00000000-0010-0000-6900-000001000000}" name="Column1" dataDxfId="279"/>
  </tableColumns>
  <tableStyleInfo name="ENTITY_STATISTICS-style 106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_107" displayName="Table_107" ref="M106" headerRowCount="0" headerRowDxfId="274" dataDxfId="272" totalsRowDxfId="273">
  <tableColumns count="1">
    <tableColumn id="1" xr3:uid="{00000000-0010-0000-6A00-000001000000}" name="Column1" dataDxfId="275"/>
  </tableColumns>
  <tableStyleInfo name="ENTITY_STATISTICS-style 107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_108" displayName="Table_108" ref="N106" headerRowCount="0" headerRowDxfId="270" dataDxfId="268" totalsRowDxfId="269">
  <tableColumns count="1">
    <tableColumn id="1" xr3:uid="{00000000-0010-0000-6B00-000001000000}" name="Column1" dataDxfId="271"/>
  </tableColumns>
  <tableStyleInfo name="ENTITY_STATISTICS-style 108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le_109" displayName="Table_109" ref="O106" headerRowCount="0" headerRowDxfId="266" dataDxfId="264" totalsRowDxfId="265">
  <tableColumns count="1">
    <tableColumn id="1" xr3:uid="{00000000-0010-0000-6C00-000001000000}" name="Column1" dataDxfId="267"/>
  </tableColumns>
  <tableStyleInfo name="ENTITY_STATISTICS-style 109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Table_110" displayName="Table_110" ref="P106" headerRowCount="0" headerRowDxfId="262" dataDxfId="260" totalsRowDxfId="261">
  <tableColumns count="1">
    <tableColumn id="1" xr3:uid="{00000000-0010-0000-6D00-000001000000}" name="Column1" dataDxfId="263"/>
  </tableColumns>
  <tableStyleInfo name="ENTITY_STATISTICS-style 110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le_111" displayName="Table_111" ref="Q106" headerRowCount="0" headerRowDxfId="258" dataDxfId="256" totalsRowDxfId="257">
  <tableColumns count="1">
    <tableColumn id="1" xr3:uid="{00000000-0010-0000-6E00-000001000000}" name="Column1" dataDxfId="259"/>
  </tableColumns>
  <tableStyleInfo name="ENTITY_STATISTICS-style 111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Table_112" displayName="Table_112" ref="R106" headerRowCount="0" headerRowDxfId="254" dataDxfId="252" totalsRowDxfId="253">
  <tableColumns count="1">
    <tableColumn id="1" xr3:uid="{00000000-0010-0000-6F00-000001000000}" name="Column1" dataDxfId="255"/>
  </tableColumns>
  <tableStyleInfo name="ENTITY_STATISTICS-style 112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Table_113" displayName="Table_113" ref="S106" headerRowCount="0" headerRowDxfId="250" dataDxfId="248" totalsRowDxfId="249">
  <tableColumns count="1">
    <tableColumn id="1" xr3:uid="{00000000-0010-0000-7000-000001000000}" name="Column1" dataDxfId="251"/>
  </tableColumns>
  <tableStyleInfo name="ENTITY_STATISTICS-style 113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Table_114" displayName="Table_114" ref="T106:V106" headerRowCount="0" headerRowDxfId="244" dataDxfId="242" totalsRowDxfId="243">
  <tableColumns count="3">
    <tableColumn id="1" xr3:uid="{00000000-0010-0000-7100-000001000000}" name="Column1" dataDxfId="247"/>
    <tableColumn id="2" xr3:uid="{00000000-0010-0000-7100-000002000000}" name="Column2" dataDxfId="246"/>
    <tableColumn id="3" xr3:uid="{00000000-0010-0000-7100-000003000000}" name="Column3" dataDxfId="245"/>
  </tableColumns>
  <tableStyleInfo name="ENTITY_STATISTICS-style 114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Table_115" displayName="Table_115" ref="A130:B130" headerRowCount="0" headerRowDxfId="239" dataDxfId="237" totalsRowDxfId="238">
  <tableColumns count="2">
    <tableColumn id="1" xr3:uid="{00000000-0010-0000-7200-000001000000}" name="Column1" dataDxfId="241"/>
    <tableColumn id="2" xr3:uid="{00000000-0010-0000-7200-000002000000}" name="Column2" dataDxfId="240"/>
  </tableColumns>
  <tableStyleInfo name="ENTITY_STATISTICS-style 11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6" displayName="Table_116" ref="C130" headerRowCount="0" headerRowDxfId="235" dataDxfId="233" totalsRowDxfId="234">
  <tableColumns count="1">
    <tableColumn id="1" xr3:uid="{00000000-0010-0000-7300-000001000000}" name="Column1" dataDxfId="236"/>
  </tableColumns>
  <tableStyleInfo name="ENTITY_STATISTICS-style 11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7" displayName="Table_117" ref="D130" headerRowCount="0" headerRowDxfId="231" dataDxfId="229" totalsRowDxfId="230">
  <tableColumns count="1">
    <tableColumn id="1" xr3:uid="{00000000-0010-0000-7400-000001000000}" name="Column1" dataDxfId="232"/>
  </tableColumns>
  <tableStyleInfo name="ENTITY_STATISTICS-style 11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8" displayName="Table_118" ref="E130" headerRowCount="0" headerRowDxfId="227" dataDxfId="225" totalsRowDxfId="226">
  <tableColumns count="1">
    <tableColumn id="1" xr3:uid="{00000000-0010-0000-7500-000001000000}" name="Column1" dataDxfId="228"/>
  </tableColumns>
  <tableStyleInfo name="ENTITY_STATISTICS-style 11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9" displayName="Table_119" ref="F130" headerRowCount="0" headerRowDxfId="223" dataDxfId="221" totalsRowDxfId="222">
  <tableColumns count="1">
    <tableColumn id="1" xr3:uid="{00000000-0010-0000-7600-000001000000}" name="Column1" dataDxfId="224"/>
  </tableColumns>
  <tableStyleInfo name="ENTITY_STATISTICS-style 119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20" displayName="Table_120" ref="G130" headerRowCount="0" headerRowDxfId="219" dataDxfId="217" totalsRowDxfId="218">
  <tableColumns count="1">
    <tableColumn id="1" xr3:uid="{00000000-0010-0000-7700-000001000000}" name="Column1" dataDxfId="220"/>
  </tableColumns>
  <tableStyleInfo name="ENTITY_STATISTICS-style 120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21" displayName="Table_121" ref="H130" headerRowCount="0" headerRowDxfId="215" dataDxfId="213" totalsRowDxfId="214">
  <tableColumns count="1">
    <tableColumn id="1" xr3:uid="{00000000-0010-0000-7800-000001000000}" name="Column1" dataDxfId="216"/>
  </tableColumns>
  <tableStyleInfo name="ENTITY_STATISTICS-style 121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_122" displayName="Table_122" ref="I130" headerRowCount="0" headerRowDxfId="211" dataDxfId="209" totalsRowDxfId="210">
  <tableColumns count="1">
    <tableColumn id="1" xr3:uid="{00000000-0010-0000-7900-000001000000}" name="Column1" dataDxfId="212"/>
  </tableColumns>
  <tableStyleInfo name="ENTITY_STATISTICS-style 12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_123" displayName="Table_123" ref="J130" headerRowCount="0" headerRowDxfId="207" dataDxfId="205" totalsRowDxfId="206">
  <tableColumns count="1">
    <tableColumn id="1" xr3:uid="{00000000-0010-0000-7A00-000001000000}" name="Column1" dataDxfId="208"/>
  </tableColumns>
  <tableStyleInfo name="ENTITY_STATISTICS-style 12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_124" displayName="Table_124" ref="K130" headerRowCount="0" headerRowDxfId="203" dataDxfId="201" totalsRowDxfId="202">
  <tableColumns count="1">
    <tableColumn id="1" xr3:uid="{00000000-0010-0000-7B00-000001000000}" name="Column1" dataDxfId="204"/>
  </tableColumns>
  <tableStyleInfo name="ENTITY_STATISTICS-style 12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_125" displayName="Table_125" ref="L130" headerRowCount="0" headerRowDxfId="199" dataDxfId="197" totalsRowDxfId="198">
  <tableColumns count="1">
    <tableColumn id="1" xr3:uid="{00000000-0010-0000-7C00-000001000000}" name="Column1" dataDxfId="200"/>
  </tableColumns>
  <tableStyleInfo name="ENTITY_STATISTICS-style 12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Table_126" displayName="Table_126" ref="M130" headerRowCount="0" headerRowDxfId="195" dataDxfId="193" totalsRowDxfId="194">
  <tableColumns count="1">
    <tableColumn id="1" xr3:uid="{00000000-0010-0000-7D00-000001000000}" name="Column1" dataDxfId="196"/>
  </tableColumns>
  <tableStyleInfo name="ENTITY_STATISTICS-style 12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Table_127" displayName="Table_127" ref="N130" headerRowCount="0" headerRowDxfId="191" dataDxfId="189" totalsRowDxfId="190">
  <tableColumns count="1">
    <tableColumn id="1" xr3:uid="{00000000-0010-0000-7E00-000001000000}" name="Column1" dataDxfId="192"/>
  </tableColumns>
  <tableStyleInfo name="ENTITY_STATISTICS-style 12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Table_128" displayName="Table_128" ref="O130" headerRowCount="0" headerRowDxfId="187" dataDxfId="185" totalsRowDxfId="186">
  <tableColumns count="1">
    <tableColumn id="1" xr3:uid="{00000000-0010-0000-7F00-000001000000}" name="Column1" dataDxfId="188"/>
  </tableColumns>
  <tableStyleInfo name="ENTITY_STATISTICS-style 12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Table_129" displayName="Table_129" ref="P130" headerRowCount="0" headerRowDxfId="183" dataDxfId="181" totalsRowDxfId="182">
  <tableColumns count="1">
    <tableColumn id="1" xr3:uid="{00000000-0010-0000-8000-000001000000}" name="Column1" dataDxfId="184"/>
  </tableColumns>
  <tableStyleInfo name="ENTITY_STATISTICS-style 129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_130" displayName="Table_130" ref="Q130" headerRowCount="0" headerRowDxfId="179" dataDxfId="177" totalsRowDxfId="178">
  <tableColumns count="1">
    <tableColumn id="1" xr3:uid="{00000000-0010-0000-8100-000001000000}" name="Column1" dataDxfId="180"/>
  </tableColumns>
  <tableStyleInfo name="ENTITY_STATISTICS-style 130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_131" displayName="Table_131" ref="R130" headerRowCount="0" headerRowDxfId="175" dataDxfId="173" totalsRowDxfId="174">
  <tableColumns count="1">
    <tableColumn id="1" xr3:uid="{00000000-0010-0000-8200-000001000000}" name="Column1" dataDxfId="176"/>
  </tableColumns>
  <tableStyleInfo name="ENTITY_STATISTICS-style 131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_132" displayName="Table_132" ref="S130" headerRowCount="0" headerRowDxfId="171" dataDxfId="169" totalsRowDxfId="170">
  <tableColumns count="1">
    <tableColumn id="1" xr3:uid="{00000000-0010-0000-8300-000001000000}" name="Column1" dataDxfId="172"/>
  </tableColumns>
  <tableStyleInfo name="ENTITY_STATISTICS-style 13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_133" displayName="Table_133" ref="T130" headerRowCount="0" headerRowDxfId="167" dataDxfId="165" totalsRowDxfId="166">
  <tableColumns count="1">
    <tableColumn id="1" xr3:uid="{00000000-0010-0000-8400-000001000000}" name="Column1" dataDxfId="168"/>
  </tableColumns>
  <tableStyleInfo name="ENTITY_STATISTICS-style 13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_134" displayName="Table_134" ref="A131:B137" headerRowCount="0" headerRowDxfId="162" dataDxfId="160" totalsRowDxfId="161">
  <tableColumns count="2">
    <tableColumn id="1" xr3:uid="{00000000-0010-0000-8500-000001000000}" name="Column1" dataDxfId="164"/>
    <tableColumn id="2" xr3:uid="{00000000-0010-0000-8500-000002000000}" name="Column2" dataDxfId="163"/>
  </tableColumns>
  <tableStyleInfo name="ENTITY_STATISTICS-style 134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_135" displayName="Table_135" ref="C131:C137" headerRowCount="0" headerRowDxfId="158" dataDxfId="156" totalsRowDxfId="157">
  <tableColumns count="1">
    <tableColumn id="1" xr3:uid="{00000000-0010-0000-8600-000001000000}" name="Column1" dataDxfId="159"/>
  </tableColumns>
  <tableStyleInfo name="ENTITY_STATISTICS-style 135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Table_136" displayName="Table_136" ref="D131:D137" headerRowCount="0" headerRowDxfId="154" dataDxfId="152" totalsRowDxfId="153">
  <tableColumns count="1">
    <tableColumn id="1" xr3:uid="{00000000-0010-0000-8700-000001000000}" name="Column1" dataDxfId="155"/>
  </tableColumns>
  <tableStyleInfo name="ENTITY_STATISTICS-style 136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Table_137" displayName="Table_137" ref="E131:E137" headerRowCount="0" headerRowDxfId="150" dataDxfId="148" totalsRowDxfId="149">
  <tableColumns count="1">
    <tableColumn id="1" xr3:uid="{00000000-0010-0000-8800-000001000000}" name="Column1" dataDxfId="151"/>
  </tableColumns>
  <tableStyleInfo name="ENTITY_STATISTICS-style 137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Table_138" displayName="Table_138" ref="F131:F137" headerRowCount="0" headerRowDxfId="146" dataDxfId="144" totalsRowDxfId="145">
  <tableColumns count="1">
    <tableColumn id="1" xr3:uid="{00000000-0010-0000-8900-000001000000}" name="Column1" dataDxfId="147"/>
  </tableColumns>
  <tableStyleInfo name="ENTITY_STATISTICS-style 138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Table_139" displayName="Table_139" ref="G131:G137" headerRowCount="0" headerRowDxfId="142" dataDxfId="140" totalsRowDxfId="141">
  <tableColumns count="1">
    <tableColumn id="1" xr3:uid="{00000000-0010-0000-8A00-000001000000}" name="Column1" dataDxfId="143"/>
  </tableColumns>
  <tableStyleInfo name="ENTITY_STATISTICS-style 139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Table_140" displayName="Table_140" ref="H131:H137" headerRowCount="0" headerRowDxfId="138" dataDxfId="136" totalsRowDxfId="137">
  <tableColumns count="1">
    <tableColumn id="1" xr3:uid="{00000000-0010-0000-8B00-000001000000}" name="Column1" dataDxfId="139"/>
  </tableColumns>
  <tableStyleInfo name="ENTITY_STATISTICS-style 140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Table_141" displayName="Table_141" ref="I131:I137" headerRowCount="0" headerRowDxfId="134" dataDxfId="132" totalsRowDxfId="133">
  <tableColumns count="1">
    <tableColumn id="1" xr3:uid="{00000000-0010-0000-8C00-000001000000}" name="Column1" dataDxfId="135"/>
  </tableColumns>
  <tableStyleInfo name="ENTITY_STATISTICS-style 141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Table_142" displayName="Table_142" ref="J131:J137" headerRowCount="0" headerRowDxfId="130" dataDxfId="128" totalsRowDxfId="129">
  <tableColumns count="1">
    <tableColumn id="1" xr3:uid="{00000000-0010-0000-8D00-000001000000}" name="Column1" dataDxfId="131"/>
  </tableColumns>
  <tableStyleInfo name="ENTITY_STATISTICS-style 142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able_143" displayName="Table_143" ref="K131:K137" headerRowCount="0" headerRowDxfId="126" dataDxfId="124" totalsRowDxfId="125">
  <tableColumns count="1">
    <tableColumn id="1" xr3:uid="{00000000-0010-0000-8E00-000001000000}" name="Column1" dataDxfId="127"/>
  </tableColumns>
  <tableStyleInfo name="ENTITY_STATISTICS-style 143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Table_144" displayName="Table_144" ref="L131:L137" headerRowCount="0" headerRowDxfId="122" dataDxfId="120" totalsRowDxfId="121">
  <tableColumns count="1">
    <tableColumn id="1" xr3:uid="{00000000-0010-0000-8F00-000001000000}" name="Column1" dataDxfId="123"/>
  </tableColumns>
  <tableStyleInfo name="ENTITY_STATISTICS-style 144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Table_145" displayName="Table_145" ref="M131:M137" headerRowCount="0" headerRowDxfId="118" dataDxfId="116" totalsRowDxfId="117">
  <tableColumns count="1">
    <tableColumn id="1" xr3:uid="{00000000-0010-0000-9000-000001000000}" name="Column1" dataDxfId="119"/>
  </tableColumns>
  <tableStyleInfo name="ENTITY_STATISTICS-style 145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Table_146" displayName="Table_146" ref="N131:N137" headerRowCount="0" headerRowDxfId="114" dataDxfId="112" totalsRowDxfId="113">
  <tableColumns count="1">
    <tableColumn id="1" xr3:uid="{00000000-0010-0000-9100-000001000000}" name="Column1" dataDxfId="115"/>
  </tableColumns>
  <tableStyleInfo name="ENTITY_STATISTICS-style 146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Table_147" displayName="Table_147" ref="O131:O137" headerRowCount="0" headerRowDxfId="110" dataDxfId="108" totalsRowDxfId="109">
  <tableColumns count="1">
    <tableColumn id="1" xr3:uid="{00000000-0010-0000-9200-000001000000}" name="Column1" dataDxfId="111"/>
  </tableColumns>
  <tableStyleInfo name="ENTITY_STATISTICS-style 147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Table_148" displayName="Table_148" ref="P131:P137" headerRowCount="0" headerRowDxfId="106" dataDxfId="104" totalsRowDxfId="105">
  <tableColumns count="1">
    <tableColumn id="1" xr3:uid="{00000000-0010-0000-9300-000001000000}" name="Column1" dataDxfId="107"/>
  </tableColumns>
  <tableStyleInfo name="ENTITY_STATISTICS-style 148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Table_149" displayName="Table_149" ref="Q131:Q137" headerRowCount="0" headerRowDxfId="102" dataDxfId="100" totalsRowDxfId="101">
  <tableColumns count="1">
    <tableColumn id="1" xr3:uid="{00000000-0010-0000-9400-000001000000}" name="Column1" dataDxfId="103"/>
  </tableColumns>
  <tableStyleInfo name="ENTITY_STATISTICS-style 149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Table_150" displayName="Table_150" ref="R131:R137" headerRowCount="0" headerRowDxfId="98" dataDxfId="96" totalsRowDxfId="97">
  <tableColumns count="1">
    <tableColumn id="1" xr3:uid="{00000000-0010-0000-9500-000001000000}" name="Column1" dataDxfId="99"/>
  </tableColumns>
  <tableStyleInfo name="ENTITY_STATISTICS-style 150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Table_151" displayName="Table_151" ref="S131:S137" headerRowCount="0" headerRowDxfId="94" dataDxfId="92" totalsRowDxfId="93">
  <tableColumns count="1">
    <tableColumn id="1" xr3:uid="{00000000-0010-0000-9600-000001000000}" name="Column1" dataDxfId="95"/>
  </tableColumns>
  <tableStyleInfo name="ENTITY_STATISTICS-style 151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Table_152" displayName="Table_152" ref="T131:T137" headerRowCount="0" headerRowDxfId="90" dataDxfId="88" totalsRowDxfId="89">
  <tableColumns count="1">
    <tableColumn id="1" xr3:uid="{00000000-0010-0000-9700-000001000000}" name="Column1" dataDxfId="91"/>
  </tableColumns>
  <tableStyleInfo name="ENTITY_STATISTICS-style 152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Table_153" displayName="Table_153" ref="A160:A184" headerRowDxfId="86" dataDxfId="84" totalsRowDxfId="85">
  <tableColumns count="1">
    <tableColumn id="1" xr3:uid="{00000000-0010-0000-9800-000001000000}" name="Type" dataDxfId="87"/>
  </tableColumns>
  <tableStyleInfo name="ENTITY_STATISTICS-style 153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Table_154" displayName="Table_154" ref="B160:C184" headerRowDxfId="81" dataDxfId="79" totalsRowDxfId="80">
  <tableColumns count="2">
    <tableColumn id="1" xr3:uid="{00000000-0010-0000-9900-000001000000}" name="Number of triples" dataDxfId="83"/>
    <tableColumn id="2" xr3:uid="{00000000-0010-0000-9900-000002000000}" name="Percentage (%)" dataDxfId="82"/>
  </tableColumns>
  <tableStyleInfo name="ENTITY_STATISTICS-style 154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Table_155" displayName="Table_155" ref="A190:B193" headerRowDxfId="76" dataDxfId="74" totalsRowDxfId="75">
  <tableColumns count="2">
    <tableColumn id="1" xr3:uid="{00000000-0010-0000-9A00-000001000000}" name="Type" dataDxfId="78"/>
    <tableColumn id="2" xr3:uid="{00000000-0010-0000-9A00-000002000000}" name="Airport" dataDxfId="77"/>
  </tableColumns>
  <tableStyleInfo name="ENTITY_STATISTICS-style 155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Table_156" displayName="Table_156" ref="C190:C193" headerRowDxfId="72" dataDxfId="70" totalsRowDxfId="71">
  <tableColumns count="1">
    <tableColumn id="1" xr3:uid="{00000000-0010-0000-9B00-000001000000}" name="Artist" dataDxfId="73"/>
  </tableColumns>
  <tableStyleInfo name="ENTITY_STATISTICS-style 156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able_157" displayName="Table_157" ref="D190:D193" headerRowDxfId="68" dataDxfId="66" totalsRowDxfId="67">
  <tableColumns count="1">
    <tableColumn id="1" xr3:uid="{00000000-0010-0000-9C00-000001000000}" name="Astronaut" dataDxfId="69"/>
  </tableColumns>
  <tableStyleInfo name="ENTITY_STATISTICS-style 157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Table_158" displayName="Table_158" ref="E190:E193" headerRowDxfId="64" dataDxfId="62" totalsRowDxfId="63">
  <tableColumns count="1">
    <tableColumn id="1" xr3:uid="{00000000-0010-0000-9D00-000001000000}" name="Athlete" dataDxfId="65"/>
  </tableColumns>
  <tableStyleInfo name="ENTITY_STATISTICS-style 158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Table_159" displayName="Table_159" ref="F190:F193" headerRowDxfId="60" dataDxfId="58" totalsRowDxfId="59">
  <tableColumns count="1">
    <tableColumn id="1" xr3:uid="{00000000-0010-0000-9E00-000001000000}" name="Building" dataDxfId="61"/>
  </tableColumns>
  <tableStyleInfo name="ENTITY_STATISTICS-style 159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Table_160" displayName="Table_160" ref="G190:G193" headerRowDxfId="56" dataDxfId="54" totalsRowDxfId="55">
  <tableColumns count="1">
    <tableColumn id="1" xr3:uid="{00000000-0010-0000-9F00-000001000000}" name="CelectialBody" dataDxfId="57"/>
  </tableColumns>
  <tableStyleInfo name="ENTITY_STATISTICS-style 160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Table_161" displayName="Table_161" ref="H190:H193" headerRowDxfId="52" dataDxfId="50" totalsRowDxfId="51">
  <tableColumns count="1">
    <tableColumn id="1" xr3:uid="{00000000-0010-0000-A000-000001000000}" name="City" dataDxfId="53"/>
  </tableColumns>
  <tableStyleInfo name="ENTITY_STATISTICS-style 161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Table_162" displayName="Table_162" ref="I190:I193" headerRowDxfId="48" dataDxfId="46" totalsRowDxfId="47">
  <tableColumns count="1">
    <tableColumn id="1" xr3:uid="{00000000-0010-0000-A100-000001000000}" name="ComiCharacter" dataDxfId="49"/>
  </tableColumns>
  <tableStyleInfo name="ENTITY_STATISTICS-style 162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Table_163" displayName="Table_163" ref="J190:J193" headerRowDxfId="44" dataDxfId="42" totalsRowDxfId="43">
  <tableColumns count="1">
    <tableColumn id="1" xr3:uid="{00000000-0010-0000-A200-000001000000}" name="Company" dataDxfId="45"/>
  </tableColumns>
  <tableStyleInfo name="ENTITY_STATISTICS-style 163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Table_164" displayName="Table_164" ref="K190:K193" headerRowDxfId="40" dataDxfId="38" totalsRowDxfId="39">
  <tableColumns count="1">
    <tableColumn id="1" xr3:uid="{00000000-0010-0000-A300-000001000000}" name="Film" dataDxfId="41"/>
  </tableColumns>
  <tableStyleInfo name="ENTITY_STATISTICS-style 164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Table_165" displayName="Table_165" ref="L190:L193" headerRowDxfId="36" dataDxfId="34" totalsRowDxfId="35">
  <tableColumns count="1">
    <tableColumn id="1" xr3:uid="{00000000-0010-0000-A400-000001000000}" name="Food" dataDxfId="37"/>
  </tableColumns>
  <tableStyleInfo name="ENTITY_STATISTICS-style 165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Table_166" displayName="Table_166" ref="M190:M193" headerRowDxfId="32" dataDxfId="30" totalsRowDxfId="31">
  <tableColumns count="1">
    <tableColumn id="1" xr3:uid="{00000000-0010-0000-A500-000001000000}" name="MeansOfTransportation" dataDxfId="33"/>
  </tableColumns>
  <tableStyleInfo name="ENTITY_STATISTICS-style 166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Table_167" displayName="Table_167" ref="N190:N193" headerRowDxfId="28" dataDxfId="26" totalsRowDxfId="27">
  <tableColumns count="1">
    <tableColumn id="1" xr3:uid="{00000000-0010-0000-A600-000001000000}" name="Monument" dataDxfId="29"/>
  </tableColumns>
  <tableStyleInfo name="ENTITY_STATISTICS-style 167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Table_168" displayName="Table_168" ref="O190:O193" headerRowDxfId="24" dataDxfId="22" totalsRowDxfId="23">
  <tableColumns count="1">
    <tableColumn id="1" xr3:uid="{00000000-0010-0000-A700-000001000000}" name="MusicalWork" dataDxfId="25"/>
  </tableColumns>
  <tableStyleInfo name="ENTITY_STATISTICS-style 168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ble_169" displayName="Table_169" ref="P190:P193" headerRowDxfId="20" dataDxfId="18" totalsRowDxfId="19">
  <tableColumns count="1">
    <tableColumn id="1" xr3:uid="{00000000-0010-0000-A800-000001000000}" name="Politician" dataDxfId="21"/>
  </tableColumns>
  <tableStyleInfo name="ENTITY_STATISTICS-style 169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ble_170" displayName="Table_170" ref="Q190:Q193" headerRowDxfId="16" dataDxfId="14" totalsRowDxfId="15">
  <tableColumns count="1">
    <tableColumn id="1" xr3:uid="{00000000-0010-0000-A900-000001000000}" name="Scientist" dataDxfId="17"/>
  </tableColumns>
  <tableStyleInfo name="ENTITY_STATISTICS-style 170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ble_171" displayName="Table_171" ref="R190:R193" headerRowDxfId="12" dataDxfId="10" totalsRowDxfId="11">
  <tableColumns count="1">
    <tableColumn id="1" xr3:uid="{00000000-0010-0000-AA00-000001000000}" name="SportsTeam" dataDxfId="13"/>
  </tableColumns>
  <tableStyleInfo name="ENTITY_STATISTICS-style 171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ble_172" displayName="Table_172" ref="S190:S193" headerRowDxfId="8" dataDxfId="6" totalsRowDxfId="7">
  <tableColumns count="1">
    <tableColumn id="1" xr3:uid="{00000000-0010-0000-AB00-000001000000}" name="University" dataDxfId="9"/>
  </tableColumns>
  <tableStyleInfo name="ENTITY_STATISTICS-style 172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able_173" displayName="Table_173" ref="T190:V193" headerRowDxfId="2" dataDxfId="0" totalsRowDxfId="1">
  <tableColumns count="3">
    <tableColumn id="1" xr3:uid="{00000000-0010-0000-AC00-000001000000}" name="WrittenWork" dataDxfId="5"/>
    <tableColumn id="2" xr3:uid="{00000000-0010-0000-AC00-000002000000}" name="Sum" dataDxfId="4"/>
    <tableColumn id="3" xr3:uid="{00000000-0010-0000-AC00-000003000000}" name="Percentage (%)" dataDxfId="3"/>
  </tableColumns>
  <tableStyleInfo name="ENTITY_STATISTICS-style 17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116.xml"/><Relationship Id="rId21" Type="http://schemas.openxmlformats.org/officeDocument/2006/relationships/table" Target="../tables/table20.xml"/><Relationship Id="rId42" Type="http://schemas.openxmlformats.org/officeDocument/2006/relationships/table" Target="../tables/table41.xml"/><Relationship Id="rId63" Type="http://schemas.openxmlformats.org/officeDocument/2006/relationships/table" Target="../tables/table62.xml"/><Relationship Id="rId84" Type="http://schemas.openxmlformats.org/officeDocument/2006/relationships/table" Target="../tables/table83.xml"/><Relationship Id="rId138" Type="http://schemas.openxmlformats.org/officeDocument/2006/relationships/table" Target="../tables/table137.xml"/><Relationship Id="rId159" Type="http://schemas.openxmlformats.org/officeDocument/2006/relationships/table" Target="../tables/table158.xml"/><Relationship Id="rId170" Type="http://schemas.openxmlformats.org/officeDocument/2006/relationships/table" Target="../tables/table169.xml"/><Relationship Id="rId107" Type="http://schemas.openxmlformats.org/officeDocument/2006/relationships/table" Target="../tables/table106.xml"/><Relationship Id="rId11" Type="http://schemas.openxmlformats.org/officeDocument/2006/relationships/table" Target="../tables/table10.xml"/><Relationship Id="rId32" Type="http://schemas.openxmlformats.org/officeDocument/2006/relationships/table" Target="../tables/table31.xml"/><Relationship Id="rId53" Type="http://schemas.openxmlformats.org/officeDocument/2006/relationships/table" Target="../tables/table52.xml"/><Relationship Id="rId74" Type="http://schemas.openxmlformats.org/officeDocument/2006/relationships/table" Target="../tables/table73.xml"/><Relationship Id="rId128" Type="http://schemas.openxmlformats.org/officeDocument/2006/relationships/table" Target="../tables/table127.xml"/><Relationship Id="rId149" Type="http://schemas.openxmlformats.org/officeDocument/2006/relationships/table" Target="../tables/table148.xml"/><Relationship Id="rId5" Type="http://schemas.openxmlformats.org/officeDocument/2006/relationships/table" Target="../tables/table4.xml"/><Relationship Id="rId95" Type="http://schemas.openxmlformats.org/officeDocument/2006/relationships/table" Target="../tables/table94.xml"/><Relationship Id="rId160" Type="http://schemas.openxmlformats.org/officeDocument/2006/relationships/table" Target="../tables/table159.xml"/><Relationship Id="rId22" Type="http://schemas.openxmlformats.org/officeDocument/2006/relationships/table" Target="../tables/table21.xml"/><Relationship Id="rId43" Type="http://schemas.openxmlformats.org/officeDocument/2006/relationships/table" Target="../tables/table42.xml"/><Relationship Id="rId64" Type="http://schemas.openxmlformats.org/officeDocument/2006/relationships/table" Target="../tables/table63.xml"/><Relationship Id="rId118" Type="http://schemas.openxmlformats.org/officeDocument/2006/relationships/table" Target="../tables/table117.xml"/><Relationship Id="rId139" Type="http://schemas.openxmlformats.org/officeDocument/2006/relationships/table" Target="../tables/table138.xml"/><Relationship Id="rId85" Type="http://schemas.openxmlformats.org/officeDocument/2006/relationships/table" Target="../tables/table84.xml"/><Relationship Id="rId150" Type="http://schemas.openxmlformats.org/officeDocument/2006/relationships/table" Target="../tables/table149.xml"/><Relationship Id="rId171" Type="http://schemas.openxmlformats.org/officeDocument/2006/relationships/table" Target="../tables/table170.xml"/><Relationship Id="rId12" Type="http://schemas.openxmlformats.org/officeDocument/2006/relationships/table" Target="../tables/table11.xml"/><Relationship Id="rId33" Type="http://schemas.openxmlformats.org/officeDocument/2006/relationships/table" Target="../tables/table32.xml"/><Relationship Id="rId108" Type="http://schemas.openxmlformats.org/officeDocument/2006/relationships/table" Target="../tables/table107.xml"/><Relationship Id="rId129" Type="http://schemas.openxmlformats.org/officeDocument/2006/relationships/table" Target="../tables/table128.xml"/><Relationship Id="rId54" Type="http://schemas.openxmlformats.org/officeDocument/2006/relationships/table" Target="../tables/table53.xml"/><Relationship Id="rId75" Type="http://schemas.openxmlformats.org/officeDocument/2006/relationships/table" Target="../tables/table74.xml"/><Relationship Id="rId96" Type="http://schemas.openxmlformats.org/officeDocument/2006/relationships/table" Target="../tables/table95.xml"/><Relationship Id="rId140" Type="http://schemas.openxmlformats.org/officeDocument/2006/relationships/table" Target="../tables/table139.xml"/><Relationship Id="rId161" Type="http://schemas.openxmlformats.org/officeDocument/2006/relationships/table" Target="../tables/table160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49" Type="http://schemas.openxmlformats.org/officeDocument/2006/relationships/table" Target="../tables/table48.xml"/><Relationship Id="rId114" Type="http://schemas.openxmlformats.org/officeDocument/2006/relationships/table" Target="../tables/table113.xml"/><Relationship Id="rId119" Type="http://schemas.openxmlformats.org/officeDocument/2006/relationships/table" Target="../tables/table118.xml"/><Relationship Id="rId44" Type="http://schemas.openxmlformats.org/officeDocument/2006/relationships/table" Target="../tables/table43.xml"/><Relationship Id="rId60" Type="http://schemas.openxmlformats.org/officeDocument/2006/relationships/table" Target="../tables/table59.xml"/><Relationship Id="rId65" Type="http://schemas.openxmlformats.org/officeDocument/2006/relationships/table" Target="../tables/table64.xml"/><Relationship Id="rId81" Type="http://schemas.openxmlformats.org/officeDocument/2006/relationships/table" Target="../tables/table80.xml"/><Relationship Id="rId86" Type="http://schemas.openxmlformats.org/officeDocument/2006/relationships/table" Target="../tables/table85.xml"/><Relationship Id="rId130" Type="http://schemas.openxmlformats.org/officeDocument/2006/relationships/table" Target="../tables/table129.xml"/><Relationship Id="rId135" Type="http://schemas.openxmlformats.org/officeDocument/2006/relationships/table" Target="../tables/table134.xml"/><Relationship Id="rId151" Type="http://schemas.openxmlformats.org/officeDocument/2006/relationships/table" Target="../tables/table150.xml"/><Relationship Id="rId156" Type="http://schemas.openxmlformats.org/officeDocument/2006/relationships/table" Target="../tables/table155.xml"/><Relationship Id="rId172" Type="http://schemas.openxmlformats.org/officeDocument/2006/relationships/table" Target="../tables/table171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9" Type="http://schemas.openxmlformats.org/officeDocument/2006/relationships/table" Target="../tables/table38.xml"/><Relationship Id="rId109" Type="http://schemas.openxmlformats.org/officeDocument/2006/relationships/table" Target="../tables/table108.xml"/><Relationship Id="rId34" Type="http://schemas.openxmlformats.org/officeDocument/2006/relationships/table" Target="../tables/table33.xml"/><Relationship Id="rId50" Type="http://schemas.openxmlformats.org/officeDocument/2006/relationships/table" Target="../tables/table49.xml"/><Relationship Id="rId55" Type="http://schemas.openxmlformats.org/officeDocument/2006/relationships/table" Target="../tables/table54.xml"/><Relationship Id="rId76" Type="http://schemas.openxmlformats.org/officeDocument/2006/relationships/table" Target="../tables/table75.xml"/><Relationship Id="rId97" Type="http://schemas.openxmlformats.org/officeDocument/2006/relationships/table" Target="../tables/table96.xml"/><Relationship Id="rId104" Type="http://schemas.openxmlformats.org/officeDocument/2006/relationships/table" Target="../tables/table103.xml"/><Relationship Id="rId120" Type="http://schemas.openxmlformats.org/officeDocument/2006/relationships/table" Target="../tables/table119.xml"/><Relationship Id="rId125" Type="http://schemas.openxmlformats.org/officeDocument/2006/relationships/table" Target="../tables/table124.xml"/><Relationship Id="rId141" Type="http://schemas.openxmlformats.org/officeDocument/2006/relationships/table" Target="../tables/table140.xml"/><Relationship Id="rId146" Type="http://schemas.openxmlformats.org/officeDocument/2006/relationships/table" Target="../tables/table145.xml"/><Relationship Id="rId167" Type="http://schemas.openxmlformats.org/officeDocument/2006/relationships/table" Target="../tables/table166.xml"/><Relationship Id="rId7" Type="http://schemas.openxmlformats.org/officeDocument/2006/relationships/table" Target="../tables/table6.xml"/><Relationship Id="rId71" Type="http://schemas.openxmlformats.org/officeDocument/2006/relationships/table" Target="../tables/table70.xml"/><Relationship Id="rId92" Type="http://schemas.openxmlformats.org/officeDocument/2006/relationships/table" Target="../tables/table91.xml"/><Relationship Id="rId162" Type="http://schemas.openxmlformats.org/officeDocument/2006/relationships/table" Target="../tables/table161.xml"/><Relationship Id="rId2" Type="http://schemas.openxmlformats.org/officeDocument/2006/relationships/table" Target="../tables/table1.xml"/><Relationship Id="rId29" Type="http://schemas.openxmlformats.org/officeDocument/2006/relationships/table" Target="../tables/table28.xml"/><Relationship Id="rId24" Type="http://schemas.openxmlformats.org/officeDocument/2006/relationships/table" Target="../tables/table23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66" Type="http://schemas.openxmlformats.org/officeDocument/2006/relationships/table" Target="../tables/table65.xml"/><Relationship Id="rId87" Type="http://schemas.openxmlformats.org/officeDocument/2006/relationships/table" Target="../tables/table86.xml"/><Relationship Id="rId110" Type="http://schemas.openxmlformats.org/officeDocument/2006/relationships/table" Target="../tables/table109.xml"/><Relationship Id="rId115" Type="http://schemas.openxmlformats.org/officeDocument/2006/relationships/table" Target="../tables/table114.xml"/><Relationship Id="rId131" Type="http://schemas.openxmlformats.org/officeDocument/2006/relationships/table" Target="../tables/table130.xml"/><Relationship Id="rId136" Type="http://schemas.openxmlformats.org/officeDocument/2006/relationships/table" Target="../tables/table135.xml"/><Relationship Id="rId157" Type="http://schemas.openxmlformats.org/officeDocument/2006/relationships/table" Target="../tables/table156.xml"/><Relationship Id="rId61" Type="http://schemas.openxmlformats.org/officeDocument/2006/relationships/table" Target="../tables/table60.xml"/><Relationship Id="rId82" Type="http://schemas.openxmlformats.org/officeDocument/2006/relationships/table" Target="../tables/table81.xml"/><Relationship Id="rId152" Type="http://schemas.openxmlformats.org/officeDocument/2006/relationships/table" Target="../tables/table151.xml"/><Relationship Id="rId173" Type="http://schemas.openxmlformats.org/officeDocument/2006/relationships/table" Target="../tables/table172.xml"/><Relationship Id="rId19" Type="http://schemas.openxmlformats.org/officeDocument/2006/relationships/table" Target="../tables/table18.xml"/><Relationship Id="rId14" Type="http://schemas.openxmlformats.org/officeDocument/2006/relationships/table" Target="../tables/table13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56" Type="http://schemas.openxmlformats.org/officeDocument/2006/relationships/table" Target="../tables/table55.xml"/><Relationship Id="rId77" Type="http://schemas.openxmlformats.org/officeDocument/2006/relationships/table" Target="../tables/table76.xml"/><Relationship Id="rId100" Type="http://schemas.openxmlformats.org/officeDocument/2006/relationships/table" Target="../tables/table99.xml"/><Relationship Id="rId105" Type="http://schemas.openxmlformats.org/officeDocument/2006/relationships/table" Target="../tables/table104.xml"/><Relationship Id="rId126" Type="http://schemas.openxmlformats.org/officeDocument/2006/relationships/table" Target="../tables/table125.xml"/><Relationship Id="rId147" Type="http://schemas.openxmlformats.org/officeDocument/2006/relationships/table" Target="../tables/table146.xml"/><Relationship Id="rId168" Type="http://schemas.openxmlformats.org/officeDocument/2006/relationships/table" Target="../tables/table167.xml"/><Relationship Id="rId8" Type="http://schemas.openxmlformats.org/officeDocument/2006/relationships/table" Target="../tables/table7.xml"/><Relationship Id="rId51" Type="http://schemas.openxmlformats.org/officeDocument/2006/relationships/table" Target="../tables/table50.xml"/><Relationship Id="rId72" Type="http://schemas.openxmlformats.org/officeDocument/2006/relationships/table" Target="../tables/table71.xml"/><Relationship Id="rId93" Type="http://schemas.openxmlformats.org/officeDocument/2006/relationships/table" Target="../tables/table92.xml"/><Relationship Id="rId98" Type="http://schemas.openxmlformats.org/officeDocument/2006/relationships/table" Target="../tables/table97.xml"/><Relationship Id="rId121" Type="http://schemas.openxmlformats.org/officeDocument/2006/relationships/table" Target="../tables/table120.xml"/><Relationship Id="rId142" Type="http://schemas.openxmlformats.org/officeDocument/2006/relationships/table" Target="../tables/table141.xml"/><Relationship Id="rId163" Type="http://schemas.openxmlformats.org/officeDocument/2006/relationships/table" Target="../tables/table162.xml"/><Relationship Id="rId3" Type="http://schemas.openxmlformats.org/officeDocument/2006/relationships/table" Target="../tables/table2.xml"/><Relationship Id="rId25" Type="http://schemas.openxmlformats.org/officeDocument/2006/relationships/table" Target="../tables/table24.xml"/><Relationship Id="rId46" Type="http://schemas.openxmlformats.org/officeDocument/2006/relationships/table" Target="../tables/table45.xml"/><Relationship Id="rId67" Type="http://schemas.openxmlformats.org/officeDocument/2006/relationships/table" Target="../tables/table66.xml"/><Relationship Id="rId116" Type="http://schemas.openxmlformats.org/officeDocument/2006/relationships/table" Target="../tables/table115.xml"/><Relationship Id="rId137" Type="http://schemas.openxmlformats.org/officeDocument/2006/relationships/table" Target="../tables/table136.xml"/><Relationship Id="rId158" Type="http://schemas.openxmlformats.org/officeDocument/2006/relationships/table" Target="../tables/table157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Relationship Id="rId62" Type="http://schemas.openxmlformats.org/officeDocument/2006/relationships/table" Target="../tables/table61.xml"/><Relationship Id="rId83" Type="http://schemas.openxmlformats.org/officeDocument/2006/relationships/table" Target="../tables/table82.xml"/><Relationship Id="rId88" Type="http://schemas.openxmlformats.org/officeDocument/2006/relationships/table" Target="../tables/table87.xml"/><Relationship Id="rId111" Type="http://schemas.openxmlformats.org/officeDocument/2006/relationships/table" Target="../tables/table110.xml"/><Relationship Id="rId132" Type="http://schemas.openxmlformats.org/officeDocument/2006/relationships/table" Target="../tables/table131.xml"/><Relationship Id="rId153" Type="http://schemas.openxmlformats.org/officeDocument/2006/relationships/table" Target="../tables/table152.xml"/><Relationship Id="rId174" Type="http://schemas.openxmlformats.org/officeDocument/2006/relationships/table" Target="../tables/table173.xml"/><Relationship Id="rId15" Type="http://schemas.openxmlformats.org/officeDocument/2006/relationships/table" Target="../tables/table14.xml"/><Relationship Id="rId36" Type="http://schemas.openxmlformats.org/officeDocument/2006/relationships/table" Target="../tables/table35.xml"/><Relationship Id="rId57" Type="http://schemas.openxmlformats.org/officeDocument/2006/relationships/table" Target="../tables/table56.xml"/><Relationship Id="rId106" Type="http://schemas.openxmlformats.org/officeDocument/2006/relationships/table" Target="../tables/table105.xml"/><Relationship Id="rId127" Type="http://schemas.openxmlformats.org/officeDocument/2006/relationships/table" Target="../tables/table126.xml"/><Relationship Id="rId10" Type="http://schemas.openxmlformats.org/officeDocument/2006/relationships/table" Target="../tables/table9.xml"/><Relationship Id="rId31" Type="http://schemas.openxmlformats.org/officeDocument/2006/relationships/table" Target="../tables/table30.xml"/><Relationship Id="rId52" Type="http://schemas.openxmlformats.org/officeDocument/2006/relationships/table" Target="../tables/table51.xml"/><Relationship Id="rId73" Type="http://schemas.openxmlformats.org/officeDocument/2006/relationships/table" Target="../tables/table72.xml"/><Relationship Id="rId78" Type="http://schemas.openxmlformats.org/officeDocument/2006/relationships/table" Target="../tables/table77.xml"/><Relationship Id="rId94" Type="http://schemas.openxmlformats.org/officeDocument/2006/relationships/table" Target="../tables/table93.xml"/><Relationship Id="rId99" Type="http://schemas.openxmlformats.org/officeDocument/2006/relationships/table" Target="../tables/table98.xml"/><Relationship Id="rId101" Type="http://schemas.openxmlformats.org/officeDocument/2006/relationships/table" Target="../tables/table100.xml"/><Relationship Id="rId122" Type="http://schemas.openxmlformats.org/officeDocument/2006/relationships/table" Target="../tables/table121.xml"/><Relationship Id="rId143" Type="http://schemas.openxmlformats.org/officeDocument/2006/relationships/table" Target="../tables/table142.xml"/><Relationship Id="rId148" Type="http://schemas.openxmlformats.org/officeDocument/2006/relationships/table" Target="../tables/table147.xml"/><Relationship Id="rId164" Type="http://schemas.openxmlformats.org/officeDocument/2006/relationships/table" Target="../tables/table163.xml"/><Relationship Id="rId169" Type="http://schemas.openxmlformats.org/officeDocument/2006/relationships/table" Target="../tables/table16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26" Type="http://schemas.openxmlformats.org/officeDocument/2006/relationships/table" Target="../tables/table25.xml"/><Relationship Id="rId47" Type="http://schemas.openxmlformats.org/officeDocument/2006/relationships/table" Target="../tables/table46.xml"/><Relationship Id="rId68" Type="http://schemas.openxmlformats.org/officeDocument/2006/relationships/table" Target="../tables/table67.xml"/><Relationship Id="rId89" Type="http://schemas.openxmlformats.org/officeDocument/2006/relationships/table" Target="../tables/table88.xml"/><Relationship Id="rId112" Type="http://schemas.openxmlformats.org/officeDocument/2006/relationships/table" Target="../tables/table111.xml"/><Relationship Id="rId133" Type="http://schemas.openxmlformats.org/officeDocument/2006/relationships/table" Target="../tables/table132.xml"/><Relationship Id="rId154" Type="http://schemas.openxmlformats.org/officeDocument/2006/relationships/table" Target="../tables/table153.xml"/><Relationship Id="rId16" Type="http://schemas.openxmlformats.org/officeDocument/2006/relationships/table" Target="../tables/table15.xml"/><Relationship Id="rId37" Type="http://schemas.openxmlformats.org/officeDocument/2006/relationships/table" Target="../tables/table36.xml"/><Relationship Id="rId58" Type="http://schemas.openxmlformats.org/officeDocument/2006/relationships/table" Target="../tables/table57.xml"/><Relationship Id="rId79" Type="http://schemas.openxmlformats.org/officeDocument/2006/relationships/table" Target="../tables/table78.xml"/><Relationship Id="rId102" Type="http://schemas.openxmlformats.org/officeDocument/2006/relationships/table" Target="../tables/table101.xml"/><Relationship Id="rId123" Type="http://schemas.openxmlformats.org/officeDocument/2006/relationships/table" Target="../tables/table122.xml"/><Relationship Id="rId144" Type="http://schemas.openxmlformats.org/officeDocument/2006/relationships/table" Target="../tables/table143.xml"/><Relationship Id="rId90" Type="http://schemas.openxmlformats.org/officeDocument/2006/relationships/table" Target="../tables/table89.xml"/><Relationship Id="rId165" Type="http://schemas.openxmlformats.org/officeDocument/2006/relationships/table" Target="../tables/table164.xml"/><Relationship Id="rId27" Type="http://schemas.openxmlformats.org/officeDocument/2006/relationships/table" Target="../tables/table26.xml"/><Relationship Id="rId48" Type="http://schemas.openxmlformats.org/officeDocument/2006/relationships/table" Target="../tables/table47.xml"/><Relationship Id="rId69" Type="http://schemas.openxmlformats.org/officeDocument/2006/relationships/table" Target="../tables/table68.xml"/><Relationship Id="rId113" Type="http://schemas.openxmlformats.org/officeDocument/2006/relationships/table" Target="../tables/table112.xml"/><Relationship Id="rId134" Type="http://schemas.openxmlformats.org/officeDocument/2006/relationships/table" Target="../tables/table133.xml"/><Relationship Id="rId80" Type="http://schemas.openxmlformats.org/officeDocument/2006/relationships/table" Target="../tables/table79.xml"/><Relationship Id="rId155" Type="http://schemas.openxmlformats.org/officeDocument/2006/relationships/table" Target="../tables/table154.xml"/><Relationship Id="rId17" Type="http://schemas.openxmlformats.org/officeDocument/2006/relationships/table" Target="../tables/table16.xml"/><Relationship Id="rId38" Type="http://schemas.openxmlformats.org/officeDocument/2006/relationships/table" Target="../tables/table37.xml"/><Relationship Id="rId59" Type="http://schemas.openxmlformats.org/officeDocument/2006/relationships/table" Target="../tables/table58.xml"/><Relationship Id="rId103" Type="http://schemas.openxmlformats.org/officeDocument/2006/relationships/table" Target="../tables/table102.xml"/><Relationship Id="rId124" Type="http://schemas.openxmlformats.org/officeDocument/2006/relationships/table" Target="../tables/table123.xml"/><Relationship Id="rId70" Type="http://schemas.openxmlformats.org/officeDocument/2006/relationships/table" Target="../tables/table69.xml"/><Relationship Id="rId91" Type="http://schemas.openxmlformats.org/officeDocument/2006/relationships/table" Target="../tables/table90.xml"/><Relationship Id="rId145" Type="http://schemas.openxmlformats.org/officeDocument/2006/relationships/table" Target="../tables/table144.xml"/><Relationship Id="rId166" Type="http://schemas.openxmlformats.org/officeDocument/2006/relationships/table" Target="../tables/table16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"/>
  <sheetViews>
    <sheetView tabSelected="1" workbookViewId="0">
      <selection sqref="A1:XFD1048576"/>
    </sheetView>
  </sheetViews>
  <sheetFormatPr defaultColWidth="14.44140625" defaultRowHeight="15" customHeight="1" x14ac:dyDescent="0.3"/>
  <cols>
    <col min="1" max="1" width="39.21875" style="26" customWidth="1"/>
    <col min="2" max="2" width="18" style="26" customWidth="1"/>
    <col min="3" max="3" width="14.88671875" style="26" customWidth="1"/>
    <col min="4" max="4" width="11.6640625" style="26" customWidth="1"/>
    <col min="5" max="5" width="9.33203125" style="26" customWidth="1"/>
    <col min="6" max="6" width="9.6640625" style="26" customWidth="1"/>
    <col min="7" max="7" width="14.109375" style="26" customWidth="1"/>
    <col min="8" max="8" width="6.109375" style="26" customWidth="1"/>
    <col min="9" max="9" width="16" style="26" customWidth="1"/>
    <col min="10" max="10" width="11.5546875" style="26" customWidth="1"/>
    <col min="11" max="11" width="7.88671875" style="26" customWidth="1"/>
    <col min="12" max="12" width="7.6640625" style="26" customWidth="1"/>
    <col min="13" max="13" width="23.88671875" style="26" customWidth="1"/>
    <col min="14" max="14" width="12.33203125" style="26" customWidth="1"/>
    <col min="15" max="15" width="14.44140625" style="26"/>
    <col min="16" max="16" width="10.6640625" style="26" customWidth="1"/>
    <col min="17" max="17" width="10.88671875" style="26" customWidth="1"/>
    <col min="18" max="18" width="13.33203125" style="26" customWidth="1"/>
    <col min="19" max="19" width="11.33203125" style="26" customWidth="1"/>
    <col min="20" max="20" width="14" style="26" customWidth="1"/>
    <col min="21" max="21" width="7.88671875" style="26" customWidth="1"/>
    <col min="22" max="22" width="19.5546875" style="26" customWidth="1"/>
    <col min="23" max="26" width="8.6640625" style="26" customWidth="1"/>
    <col min="27" max="16384" width="14.44140625" style="26"/>
  </cols>
  <sheetData>
    <row r="1" spans="1:22" ht="14.25" customHeight="1" x14ac:dyDescent="0.3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5" t="s">
        <v>20</v>
      </c>
      <c r="V1" s="25" t="s">
        <v>21</v>
      </c>
    </row>
    <row r="2" spans="1:22" ht="14.25" customHeight="1" x14ac:dyDescent="0.3">
      <c r="A2" s="25" t="s">
        <v>22</v>
      </c>
      <c r="B2" s="26">
        <v>318</v>
      </c>
      <c r="C2" s="26">
        <v>317</v>
      </c>
      <c r="D2" s="26">
        <v>304</v>
      </c>
      <c r="E2" s="26">
        <v>145</v>
      </c>
      <c r="F2" s="26">
        <v>210</v>
      </c>
      <c r="G2" s="26">
        <v>161</v>
      </c>
      <c r="H2" s="26">
        <v>254</v>
      </c>
      <c r="I2" s="26">
        <v>106</v>
      </c>
      <c r="J2" s="26">
        <v>196</v>
      </c>
      <c r="K2" s="26">
        <v>776</v>
      </c>
      <c r="L2" s="26">
        <v>210</v>
      </c>
      <c r="M2" s="26">
        <v>155</v>
      </c>
      <c r="N2" s="26">
        <v>210</v>
      </c>
      <c r="O2" s="26">
        <v>825</v>
      </c>
      <c r="P2" s="26">
        <v>104</v>
      </c>
      <c r="Q2" s="26">
        <v>711</v>
      </c>
      <c r="R2" s="26">
        <v>203</v>
      </c>
      <c r="S2" s="26">
        <v>333</v>
      </c>
      <c r="T2" s="26">
        <v>101</v>
      </c>
      <c r="U2" s="25">
        <f t="shared" ref="U2:U4" si="0">SUM(B2:T2)</f>
        <v>5639</v>
      </c>
      <c r="V2" s="25">
        <v>100</v>
      </c>
    </row>
    <row r="3" spans="1:22" ht="14.25" customHeight="1" x14ac:dyDescent="0.3">
      <c r="A3" s="25" t="s">
        <v>23</v>
      </c>
      <c r="B3" s="26">
        <v>183</v>
      </c>
      <c r="C3" s="26">
        <v>130</v>
      </c>
      <c r="D3" s="26">
        <v>140</v>
      </c>
      <c r="E3" s="26">
        <v>105</v>
      </c>
      <c r="F3" s="26">
        <v>66</v>
      </c>
      <c r="G3" s="26">
        <v>99</v>
      </c>
      <c r="H3" s="26">
        <v>142</v>
      </c>
      <c r="I3" s="26">
        <v>23</v>
      </c>
      <c r="J3" s="26">
        <v>133</v>
      </c>
      <c r="K3" s="26">
        <v>94</v>
      </c>
      <c r="L3" s="26">
        <v>81</v>
      </c>
      <c r="M3" s="26">
        <v>53</v>
      </c>
      <c r="N3" s="26">
        <v>129</v>
      </c>
      <c r="O3" s="26">
        <v>194</v>
      </c>
      <c r="P3" s="26">
        <v>92</v>
      </c>
      <c r="Q3" s="26">
        <v>231</v>
      </c>
      <c r="R3" s="26">
        <v>96</v>
      </c>
      <c r="S3" s="26">
        <v>156</v>
      </c>
      <c r="T3" s="26">
        <v>12</v>
      </c>
      <c r="U3" s="25">
        <f t="shared" si="0"/>
        <v>2159</v>
      </c>
      <c r="V3" s="25">
        <f t="shared" ref="V3:V4" si="1">U3/$U$2*100</f>
        <v>38.28693030679198</v>
      </c>
    </row>
    <row r="4" spans="1:22" ht="14.25" customHeight="1" x14ac:dyDescent="0.3">
      <c r="A4" s="25" t="s">
        <v>24</v>
      </c>
      <c r="B4" s="26">
        <v>135</v>
      </c>
      <c r="C4" s="26">
        <v>187</v>
      </c>
      <c r="D4" s="26">
        <v>164</v>
      </c>
      <c r="E4" s="26">
        <v>40</v>
      </c>
      <c r="F4" s="26">
        <v>144</v>
      </c>
      <c r="G4" s="26">
        <v>62</v>
      </c>
      <c r="H4" s="26">
        <v>112</v>
      </c>
      <c r="I4" s="26">
        <v>83</v>
      </c>
      <c r="J4" s="26">
        <v>63</v>
      </c>
      <c r="K4" s="26">
        <v>682</v>
      </c>
      <c r="L4" s="26">
        <v>129</v>
      </c>
      <c r="M4" s="26">
        <v>102</v>
      </c>
      <c r="N4" s="26">
        <v>81</v>
      </c>
      <c r="O4" s="26">
        <v>631</v>
      </c>
      <c r="P4" s="26">
        <v>12</v>
      </c>
      <c r="Q4" s="26">
        <v>480</v>
      </c>
      <c r="R4" s="26">
        <v>107</v>
      </c>
      <c r="S4" s="26">
        <v>177</v>
      </c>
      <c r="T4" s="26">
        <v>89</v>
      </c>
      <c r="U4" s="25">
        <f t="shared" si="0"/>
        <v>3480</v>
      </c>
      <c r="V4" s="25">
        <f t="shared" si="1"/>
        <v>61.713069693208013</v>
      </c>
    </row>
    <row r="5" spans="1:22" ht="14.25" customHeight="1" x14ac:dyDescent="0.3">
      <c r="A5" s="25" t="s">
        <v>25</v>
      </c>
      <c r="U5" s="25"/>
      <c r="V5" s="25"/>
    </row>
    <row r="6" spans="1:22" ht="14.25" customHeight="1" x14ac:dyDescent="0.3">
      <c r="A6" s="25" t="s">
        <v>26</v>
      </c>
      <c r="U6" s="25"/>
      <c r="V6" s="25"/>
    </row>
    <row r="7" spans="1:22" ht="14.25" customHeight="1" x14ac:dyDescent="0.3">
      <c r="A7" s="25" t="s">
        <v>173</v>
      </c>
      <c r="B7" s="26">
        <v>0</v>
      </c>
      <c r="C7" s="26">
        <v>0</v>
      </c>
      <c r="D7" s="26">
        <v>0</v>
      </c>
      <c r="E7" s="26">
        <v>13</v>
      </c>
      <c r="F7" s="26">
        <v>0</v>
      </c>
      <c r="G7" s="26">
        <v>0</v>
      </c>
      <c r="H7" s="26">
        <v>0</v>
      </c>
      <c r="I7" s="26">
        <v>0</v>
      </c>
      <c r="J7" s="26">
        <v>70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92</v>
      </c>
      <c r="Q7" s="26">
        <v>0</v>
      </c>
      <c r="R7" s="26">
        <v>0</v>
      </c>
      <c r="S7" s="26">
        <v>0</v>
      </c>
      <c r="T7" s="26">
        <v>0</v>
      </c>
      <c r="U7" s="25">
        <f t="shared" ref="U7:U9" si="2">SUM(B7:T7)</f>
        <v>175</v>
      </c>
      <c r="V7" s="25">
        <f t="shared" ref="V7:V9" si="3">U7/$U$2*100</f>
        <v>3.1033871253768401</v>
      </c>
    </row>
    <row r="8" spans="1:22" ht="14.25" customHeight="1" x14ac:dyDescent="0.3">
      <c r="A8" s="25" t="s">
        <v>28</v>
      </c>
      <c r="B8" s="26">
        <v>0</v>
      </c>
      <c r="C8" s="26">
        <v>0</v>
      </c>
      <c r="D8" s="26">
        <v>0</v>
      </c>
      <c r="E8" s="26">
        <v>11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26">
        <v>1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5">
        <f t="shared" si="2"/>
        <v>12</v>
      </c>
      <c r="V8" s="25">
        <f t="shared" si="3"/>
        <v>0.212803688597269</v>
      </c>
    </row>
    <row r="9" spans="1:22" ht="14.25" customHeight="1" x14ac:dyDescent="0.3">
      <c r="A9" s="25" t="s">
        <v>29</v>
      </c>
      <c r="B9" s="26">
        <v>0</v>
      </c>
      <c r="C9" s="26">
        <v>0</v>
      </c>
      <c r="D9" s="26">
        <v>0</v>
      </c>
      <c r="E9" s="26">
        <v>13</v>
      </c>
      <c r="F9" s="26">
        <v>0</v>
      </c>
      <c r="G9" s="26">
        <v>0</v>
      </c>
      <c r="H9" s="26">
        <v>0</v>
      </c>
      <c r="I9" s="26">
        <v>0</v>
      </c>
      <c r="J9" s="26">
        <v>70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92</v>
      </c>
      <c r="Q9" s="26">
        <v>0</v>
      </c>
      <c r="R9" s="26">
        <v>0</v>
      </c>
      <c r="S9" s="26">
        <v>0</v>
      </c>
      <c r="T9" s="26">
        <v>0</v>
      </c>
      <c r="U9" s="27">
        <f t="shared" si="2"/>
        <v>175</v>
      </c>
      <c r="V9" s="27">
        <f t="shared" si="3"/>
        <v>3.1033871253768401</v>
      </c>
    </row>
    <row r="10" spans="1:22" ht="14.25" customHeight="1" x14ac:dyDescent="0.3">
      <c r="A10" s="25" t="s">
        <v>25</v>
      </c>
      <c r="U10" s="25"/>
      <c r="V10" s="25"/>
    </row>
    <row r="11" spans="1:22" ht="14.25" customHeight="1" x14ac:dyDescent="0.3">
      <c r="A11" s="25" t="s">
        <v>30</v>
      </c>
      <c r="U11" s="25"/>
      <c r="V11" s="25"/>
    </row>
    <row r="12" spans="1:22" ht="14.25" customHeight="1" x14ac:dyDescent="0.3">
      <c r="A12" s="25" t="s">
        <v>173</v>
      </c>
      <c r="B12" s="26">
        <v>36</v>
      </c>
      <c r="C12" s="26">
        <v>7</v>
      </c>
      <c r="D12" s="26">
        <v>17</v>
      </c>
      <c r="E12" s="26">
        <v>26</v>
      </c>
      <c r="F12" s="26">
        <v>32</v>
      </c>
      <c r="G12" s="26">
        <v>99</v>
      </c>
      <c r="H12" s="26">
        <v>19</v>
      </c>
      <c r="I12" s="26">
        <v>0</v>
      </c>
      <c r="J12" s="26">
        <v>17</v>
      </c>
      <c r="K12" s="26">
        <v>37</v>
      </c>
      <c r="L12" s="26">
        <v>7</v>
      </c>
      <c r="M12" s="26">
        <v>31</v>
      </c>
      <c r="N12" s="26">
        <v>0</v>
      </c>
      <c r="O12" s="26">
        <v>2</v>
      </c>
      <c r="P12" s="26">
        <v>6</v>
      </c>
      <c r="Q12" s="26">
        <v>40</v>
      </c>
      <c r="R12" s="26">
        <v>55</v>
      </c>
      <c r="S12" s="26">
        <v>44</v>
      </c>
      <c r="T12" s="26">
        <v>0</v>
      </c>
      <c r="U12" s="25">
        <f t="shared" ref="U12:U14" si="4">SUM(B12:T12)</f>
        <v>475</v>
      </c>
      <c r="V12" s="25">
        <f t="shared" ref="V12:V14" si="5">U12/$U$2*100</f>
        <v>8.4234793403085657</v>
      </c>
    </row>
    <row r="13" spans="1:22" ht="14.25" customHeight="1" x14ac:dyDescent="0.3">
      <c r="A13" s="25" t="s">
        <v>28</v>
      </c>
      <c r="B13" s="26">
        <v>31</v>
      </c>
      <c r="C13" s="26">
        <v>99</v>
      </c>
      <c r="D13" s="26">
        <v>111</v>
      </c>
      <c r="E13" s="26">
        <v>21</v>
      </c>
      <c r="F13" s="26">
        <v>31</v>
      </c>
      <c r="G13" s="26">
        <v>0</v>
      </c>
      <c r="H13" s="26">
        <v>87</v>
      </c>
      <c r="I13" s="26">
        <v>3</v>
      </c>
      <c r="J13" s="26">
        <v>32</v>
      </c>
      <c r="K13" s="26">
        <v>38</v>
      </c>
      <c r="L13" s="26">
        <v>56</v>
      </c>
      <c r="M13" s="26">
        <v>11</v>
      </c>
      <c r="N13" s="26">
        <v>43</v>
      </c>
      <c r="O13" s="26">
        <v>39</v>
      </c>
      <c r="P13" s="26">
        <v>44</v>
      </c>
      <c r="Q13" s="26">
        <v>119</v>
      </c>
      <c r="R13" s="26">
        <v>12</v>
      </c>
      <c r="S13" s="26">
        <v>55</v>
      </c>
      <c r="T13" s="26">
        <v>4</v>
      </c>
      <c r="U13" s="25">
        <f t="shared" si="4"/>
        <v>836</v>
      </c>
      <c r="V13" s="25">
        <f t="shared" si="5"/>
        <v>14.825323638943075</v>
      </c>
    </row>
    <row r="14" spans="1:22" ht="14.25" customHeight="1" x14ac:dyDescent="0.3">
      <c r="A14" s="25" t="s">
        <v>29</v>
      </c>
      <c r="B14" s="26">
        <v>36</v>
      </c>
      <c r="C14" s="26">
        <v>7</v>
      </c>
      <c r="D14" s="26">
        <v>17</v>
      </c>
      <c r="E14" s="26">
        <v>26</v>
      </c>
      <c r="F14" s="26">
        <v>32</v>
      </c>
      <c r="G14" s="26">
        <v>99</v>
      </c>
      <c r="H14" s="26">
        <v>19</v>
      </c>
      <c r="I14" s="26">
        <v>0</v>
      </c>
      <c r="J14" s="26">
        <v>17</v>
      </c>
      <c r="K14" s="26">
        <v>37</v>
      </c>
      <c r="L14" s="26">
        <v>7</v>
      </c>
      <c r="M14" s="26">
        <v>31</v>
      </c>
      <c r="N14" s="26">
        <v>0</v>
      </c>
      <c r="O14" s="26">
        <v>2</v>
      </c>
      <c r="P14" s="26">
        <v>6</v>
      </c>
      <c r="Q14" s="26">
        <v>40</v>
      </c>
      <c r="R14" s="26">
        <v>55</v>
      </c>
      <c r="S14" s="26">
        <v>44</v>
      </c>
      <c r="T14" s="26">
        <v>0</v>
      </c>
      <c r="U14" s="27">
        <f t="shared" si="4"/>
        <v>475</v>
      </c>
      <c r="V14" s="27">
        <f t="shared" si="5"/>
        <v>8.4234793403085657</v>
      </c>
    </row>
    <row r="15" spans="1:22" ht="14.25" customHeight="1" x14ac:dyDescent="0.3">
      <c r="A15" s="25" t="s">
        <v>25</v>
      </c>
      <c r="U15" s="25"/>
      <c r="V15" s="25"/>
    </row>
    <row r="16" spans="1:22" ht="14.25" customHeight="1" x14ac:dyDescent="0.3">
      <c r="A16" s="25" t="s">
        <v>31</v>
      </c>
      <c r="B16" s="26">
        <v>153</v>
      </c>
      <c r="C16" s="26">
        <v>36</v>
      </c>
      <c r="D16" s="26">
        <v>15</v>
      </c>
      <c r="E16" s="26">
        <v>50</v>
      </c>
      <c r="F16" s="26">
        <v>3</v>
      </c>
      <c r="G16" s="26">
        <v>0</v>
      </c>
      <c r="H16" s="26">
        <v>61</v>
      </c>
      <c r="I16" s="26">
        <v>20</v>
      </c>
      <c r="J16" s="26">
        <v>45</v>
      </c>
      <c r="K16" s="26">
        <v>36</v>
      </c>
      <c r="L16" s="26">
        <v>28</v>
      </c>
      <c r="M16" s="26">
        <v>15</v>
      </c>
      <c r="N16" s="26">
        <v>86</v>
      </c>
      <c r="O16" s="26">
        <v>155</v>
      </c>
      <c r="P16" s="26">
        <v>8</v>
      </c>
      <c r="Q16" s="26">
        <v>104</v>
      </c>
      <c r="R16" s="26">
        <v>29</v>
      </c>
      <c r="S16" s="26">
        <v>81</v>
      </c>
      <c r="T16" s="26">
        <v>10</v>
      </c>
      <c r="U16" s="25">
        <f>SUM(B16:T16)</f>
        <v>935</v>
      </c>
      <c r="V16" s="25">
        <f>U16/$U$2*100</f>
        <v>16.580954069870543</v>
      </c>
    </row>
    <row r="17" spans="1:22" ht="14.25" customHeight="1" x14ac:dyDescent="0.3">
      <c r="A17" s="25" t="s">
        <v>25</v>
      </c>
      <c r="U17" s="25"/>
      <c r="V17" s="25"/>
    </row>
    <row r="18" spans="1:22" ht="14.25" customHeight="1" x14ac:dyDescent="0.3">
      <c r="A18" s="25" t="s">
        <v>32</v>
      </c>
      <c r="U18" s="25"/>
      <c r="V18" s="25"/>
    </row>
    <row r="19" spans="1:22" ht="14.25" customHeight="1" x14ac:dyDescent="0.3">
      <c r="A19" s="25" t="s">
        <v>33</v>
      </c>
      <c r="B19" s="26">
        <v>0</v>
      </c>
      <c r="C19" s="26">
        <v>0</v>
      </c>
      <c r="D19" s="26">
        <v>0</v>
      </c>
      <c r="E19" s="26">
        <v>9</v>
      </c>
      <c r="F19" s="26">
        <v>0</v>
      </c>
      <c r="G19" s="26">
        <v>0</v>
      </c>
      <c r="H19" s="26">
        <v>0</v>
      </c>
      <c r="I19" s="26">
        <v>0</v>
      </c>
      <c r="J19" s="26">
        <v>52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34</v>
      </c>
      <c r="Q19" s="26">
        <v>0</v>
      </c>
      <c r="R19" s="26">
        <v>0</v>
      </c>
      <c r="S19" s="26">
        <v>0</v>
      </c>
      <c r="T19" s="26">
        <v>0</v>
      </c>
      <c r="U19" s="25">
        <f t="shared" ref="U19:U25" si="6">SUM(B19:T19)</f>
        <v>95</v>
      </c>
      <c r="V19" s="25">
        <f t="shared" ref="V19:V20" si="7">U19/$U$2*100</f>
        <v>1.684695868061713</v>
      </c>
    </row>
    <row r="20" spans="1:22" ht="14.25" customHeight="1" x14ac:dyDescent="0.3">
      <c r="A20" s="25" t="s">
        <v>34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7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8</v>
      </c>
      <c r="Q20" s="26">
        <v>0</v>
      </c>
      <c r="R20" s="26">
        <v>0</v>
      </c>
      <c r="S20" s="26">
        <v>0</v>
      </c>
      <c r="T20" s="26">
        <v>0</v>
      </c>
      <c r="U20" s="25">
        <f t="shared" si="6"/>
        <v>15</v>
      </c>
      <c r="V20" s="25">
        <f t="shared" si="7"/>
        <v>0.26600461074658627</v>
      </c>
    </row>
    <row r="21" spans="1:22" ht="14.25" customHeight="1" x14ac:dyDescent="0.3">
      <c r="A21" s="25" t="s">
        <v>35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5">
        <f t="shared" si="6"/>
        <v>0</v>
      </c>
      <c r="V21" s="25">
        <v>0</v>
      </c>
    </row>
    <row r="22" spans="1:22" ht="14.25" customHeight="1" x14ac:dyDescent="0.3">
      <c r="A22" s="25" t="s">
        <v>36</v>
      </c>
      <c r="B22" s="26">
        <v>116</v>
      </c>
      <c r="C22" s="26">
        <v>24</v>
      </c>
      <c r="D22" s="26">
        <v>12</v>
      </c>
      <c r="E22" s="26">
        <v>49</v>
      </c>
      <c r="F22" s="26">
        <v>3</v>
      </c>
      <c r="G22" s="26">
        <v>0</v>
      </c>
      <c r="H22" s="26">
        <v>36</v>
      </c>
      <c r="I22" s="26">
        <v>20</v>
      </c>
      <c r="J22" s="26">
        <v>25</v>
      </c>
      <c r="K22" s="26">
        <v>19</v>
      </c>
      <c r="L22" s="26">
        <v>18</v>
      </c>
      <c r="M22" s="26">
        <v>11</v>
      </c>
      <c r="N22" s="26">
        <v>86</v>
      </c>
      <c r="O22" s="26">
        <v>153</v>
      </c>
      <c r="P22" s="26">
        <v>0</v>
      </c>
      <c r="Q22" s="26">
        <v>72</v>
      </c>
      <c r="R22" s="26">
        <v>29</v>
      </c>
      <c r="S22" s="26">
        <v>57</v>
      </c>
      <c r="T22" s="26">
        <v>8</v>
      </c>
      <c r="U22" s="25">
        <f t="shared" si="6"/>
        <v>738</v>
      </c>
      <c r="V22" s="25">
        <f t="shared" ref="V22:V25" si="8">U22/$U$2*100</f>
        <v>13.087426848732045</v>
      </c>
    </row>
    <row r="23" spans="1:22" ht="14.25" customHeight="1" x14ac:dyDescent="0.3">
      <c r="A23" s="25" t="s">
        <v>37</v>
      </c>
      <c r="B23" s="26">
        <v>37</v>
      </c>
      <c r="C23" s="26">
        <v>12</v>
      </c>
      <c r="D23" s="26">
        <v>3</v>
      </c>
      <c r="E23" s="26">
        <v>1</v>
      </c>
      <c r="F23" s="26">
        <v>0</v>
      </c>
      <c r="G23" s="26">
        <v>0</v>
      </c>
      <c r="H23" s="26">
        <v>25</v>
      </c>
      <c r="I23" s="26">
        <v>0</v>
      </c>
      <c r="J23" s="26">
        <v>13</v>
      </c>
      <c r="K23" s="26">
        <v>17</v>
      </c>
      <c r="L23" s="26">
        <v>10</v>
      </c>
      <c r="M23" s="26">
        <v>4</v>
      </c>
      <c r="N23" s="26">
        <v>0</v>
      </c>
      <c r="O23" s="26">
        <v>2</v>
      </c>
      <c r="P23" s="26">
        <v>0</v>
      </c>
      <c r="Q23" s="26">
        <v>32</v>
      </c>
      <c r="R23" s="26">
        <v>0</v>
      </c>
      <c r="S23" s="26">
        <v>24</v>
      </c>
      <c r="T23" s="26">
        <v>2</v>
      </c>
      <c r="U23" s="25">
        <f t="shared" si="6"/>
        <v>182</v>
      </c>
      <c r="V23" s="25">
        <f t="shared" si="8"/>
        <v>3.2275226103919135</v>
      </c>
    </row>
    <row r="24" spans="1:22" ht="14.25" customHeight="1" x14ac:dyDescent="0.3">
      <c r="A24" s="25" t="s">
        <v>38</v>
      </c>
      <c r="B24" s="26">
        <v>30</v>
      </c>
      <c r="C24" s="26">
        <v>94</v>
      </c>
      <c r="D24" s="26">
        <v>125</v>
      </c>
      <c r="E24" s="26">
        <v>31</v>
      </c>
      <c r="F24" s="26">
        <v>63</v>
      </c>
      <c r="G24" s="26">
        <v>99</v>
      </c>
      <c r="H24" s="26">
        <v>81</v>
      </c>
      <c r="I24" s="26">
        <v>3</v>
      </c>
      <c r="J24" s="26">
        <v>25</v>
      </c>
      <c r="K24" s="26">
        <v>58</v>
      </c>
      <c r="L24" s="26">
        <v>53</v>
      </c>
      <c r="M24" s="26">
        <v>38</v>
      </c>
      <c r="N24" s="26">
        <v>43</v>
      </c>
      <c r="O24" s="26">
        <v>38</v>
      </c>
      <c r="P24" s="26">
        <v>0</v>
      </c>
      <c r="Q24" s="26">
        <v>127</v>
      </c>
      <c r="R24" s="26">
        <v>67</v>
      </c>
      <c r="S24" s="26">
        <v>75</v>
      </c>
      <c r="T24" s="26">
        <v>2</v>
      </c>
      <c r="U24" s="25">
        <f t="shared" si="6"/>
        <v>1052</v>
      </c>
      <c r="V24" s="25">
        <f t="shared" si="8"/>
        <v>18.655790033693918</v>
      </c>
    </row>
    <row r="25" spans="1:22" ht="14.25" customHeight="1" x14ac:dyDescent="0.3">
      <c r="A25" s="25" t="s">
        <v>39</v>
      </c>
      <c r="B25" s="26">
        <v>0</v>
      </c>
      <c r="C25" s="26">
        <v>0</v>
      </c>
      <c r="D25" s="26">
        <v>0</v>
      </c>
      <c r="E25" s="26">
        <v>15</v>
      </c>
      <c r="F25" s="26">
        <v>0</v>
      </c>
      <c r="G25" s="26">
        <v>0</v>
      </c>
      <c r="H25" s="26">
        <v>0</v>
      </c>
      <c r="I25" s="26">
        <v>0</v>
      </c>
      <c r="J25" s="26">
        <v>11</v>
      </c>
      <c r="K25" s="26">
        <v>0</v>
      </c>
      <c r="L25" s="26">
        <v>0</v>
      </c>
      <c r="M25" s="26">
        <v>0</v>
      </c>
      <c r="N25" s="26">
        <v>0</v>
      </c>
      <c r="O25" s="26">
        <v>1</v>
      </c>
      <c r="P25" s="26">
        <v>50</v>
      </c>
      <c r="Q25" s="26">
        <v>0</v>
      </c>
      <c r="R25" s="26">
        <v>0</v>
      </c>
      <c r="S25" s="26">
        <v>0</v>
      </c>
      <c r="T25" s="26">
        <v>0</v>
      </c>
      <c r="U25" s="25">
        <f t="shared" si="6"/>
        <v>77</v>
      </c>
      <c r="V25" s="25">
        <f t="shared" si="8"/>
        <v>1.3654903351658096</v>
      </c>
    </row>
    <row r="26" spans="1:22" ht="14.25" customHeight="1" x14ac:dyDescent="0.3">
      <c r="A26" s="25"/>
      <c r="U26" s="25"/>
      <c r="V26" s="25"/>
    </row>
    <row r="27" spans="1:22" ht="14.25" customHeight="1" x14ac:dyDescent="0.3">
      <c r="A27" s="25"/>
      <c r="U27" s="25"/>
      <c r="V27" s="25"/>
    </row>
    <row r="28" spans="1:22" ht="14.25" customHeight="1" x14ac:dyDescent="0.3">
      <c r="A28" s="25"/>
      <c r="U28" s="25"/>
      <c r="V28" s="25"/>
    </row>
    <row r="29" spans="1:22" ht="14.25" customHeight="1" x14ac:dyDescent="0.3">
      <c r="A29" s="28" t="s">
        <v>40</v>
      </c>
      <c r="B29" s="29">
        <v>61.713099999999997</v>
      </c>
      <c r="U29" s="25"/>
      <c r="V29" s="25"/>
    </row>
    <row r="30" spans="1:22" ht="14.25" customHeight="1" x14ac:dyDescent="0.3">
      <c r="A30" s="30" t="s">
        <v>41</v>
      </c>
      <c r="B30" s="31">
        <v>1.6846958679999999</v>
      </c>
      <c r="U30" s="25"/>
      <c r="V30" s="25"/>
    </row>
    <row r="31" spans="1:22" ht="14.25" customHeight="1" x14ac:dyDescent="0.3">
      <c r="A31" s="28" t="s">
        <v>42</v>
      </c>
      <c r="B31" s="29">
        <v>0.26600000000000001</v>
      </c>
      <c r="U31" s="25"/>
      <c r="V31" s="25"/>
    </row>
    <row r="32" spans="1:22" ht="14.25" customHeight="1" x14ac:dyDescent="0.3">
      <c r="A32" s="30" t="s">
        <v>43</v>
      </c>
      <c r="B32" s="32">
        <v>0</v>
      </c>
      <c r="U32" s="25"/>
      <c r="V32" s="25"/>
    </row>
    <row r="33" spans="1:22" ht="14.25" customHeight="1" x14ac:dyDescent="0.3">
      <c r="A33" s="28" t="s">
        <v>44</v>
      </c>
      <c r="B33" s="29">
        <v>13.087400000000001</v>
      </c>
      <c r="U33" s="25"/>
      <c r="V33" s="25"/>
    </row>
    <row r="34" spans="1:22" ht="14.25" customHeight="1" x14ac:dyDescent="0.3">
      <c r="A34" s="30" t="s">
        <v>45</v>
      </c>
      <c r="B34" s="29">
        <v>3.2275200000000002</v>
      </c>
      <c r="U34" s="25"/>
      <c r="V34" s="25"/>
    </row>
    <row r="35" spans="1:22" ht="14.25" customHeight="1" x14ac:dyDescent="0.3">
      <c r="A35" s="28" t="s">
        <v>46</v>
      </c>
      <c r="B35" s="29">
        <v>18.655799999999999</v>
      </c>
      <c r="U35" s="25"/>
      <c r="V35" s="25"/>
    </row>
    <row r="36" spans="1:22" ht="14.25" customHeight="1" x14ac:dyDescent="0.3">
      <c r="A36" s="30" t="s">
        <v>47</v>
      </c>
      <c r="B36" s="29">
        <v>1.3654900000000001</v>
      </c>
      <c r="U36" s="25"/>
      <c r="V36" s="25"/>
    </row>
    <row r="37" spans="1:22" ht="14.25" customHeight="1" x14ac:dyDescent="0.3">
      <c r="A37" s="25"/>
      <c r="U37" s="25"/>
      <c r="V37" s="25"/>
    </row>
    <row r="38" spans="1:22" ht="14.25" customHeight="1" x14ac:dyDescent="0.3">
      <c r="A38" s="25"/>
      <c r="U38" s="25"/>
      <c r="V38" s="25"/>
    </row>
    <row r="39" spans="1:22" ht="14.25" customHeight="1" x14ac:dyDescent="0.3">
      <c r="A39" s="25"/>
      <c r="U39" s="25"/>
      <c r="V39" s="25"/>
    </row>
    <row r="40" spans="1:22" ht="14.25" customHeight="1" x14ac:dyDescent="0.3">
      <c r="A40" s="25"/>
      <c r="U40" s="25"/>
      <c r="V40" s="25"/>
    </row>
    <row r="41" spans="1:22" ht="14.25" customHeight="1" x14ac:dyDescent="0.3">
      <c r="A41" s="25"/>
      <c r="U41" s="25"/>
      <c r="V41" s="25"/>
    </row>
    <row r="42" spans="1:22" ht="14.25" customHeight="1" x14ac:dyDescent="0.3">
      <c r="A42" s="25"/>
      <c r="U42" s="25"/>
      <c r="V42" s="25"/>
    </row>
    <row r="43" spans="1:22" ht="14.25" customHeight="1" x14ac:dyDescent="0.3">
      <c r="A43" s="25"/>
      <c r="U43" s="25"/>
      <c r="V43" s="25"/>
    </row>
    <row r="44" spans="1:22" ht="14.25" customHeight="1" x14ac:dyDescent="0.3">
      <c r="A44" s="25"/>
      <c r="U44" s="25"/>
      <c r="V44" s="25"/>
    </row>
    <row r="45" spans="1:22" ht="14.25" customHeight="1" x14ac:dyDescent="0.3">
      <c r="A45" s="25"/>
      <c r="U45" s="25"/>
      <c r="V45" s="25"/>
    </row>
    <row r="46" spans="1:22" ht="14.25" customHeight="1" x14ac:dyDescent="0.3">
      <c r="A46" s="25"/>
      <c r="U46" s="25"/>
      <c r="V46" s="25"/>
    </row>
    <row r="47" spans="1:22" ht="14.25" customHeight="1" x14ac:dyDescent="0.3">
      <c r="A47" s="25"/>
      <c r="U47" s="25"/>
      <c r="V47" s="25"/>
    </row>
    <row r="48" spans="1:22" ht="14.25" customHeight="1" x14ac:dyDescent="0.3">
      <c r="A48" s="25"/>
      <c r="U48" s="25"/>
      <c r="V48" s="25"/>
    </row>
    <row r="49" spans="1:22" ht="14.25" customHeight="1" x14ac:dyDescent="0.3">
      <c r="A49" s="25"/>
      <c r="U49" s="25"/>
      <c r="V49" s="25"/>
    </row>
    <row r="50" spans="1:22" ht="14.25" customHeight="1" x14ac:dyDescent="0.3">
      <c r="A50" s="25"/>
      <c r="U50" s="25"/>
      <c r="V50" s="25"/>
    </row>
    <row r="51" spans="1:22" ht="14.25" customHeight="1" x14ac:dyDescent="0.3">
      <c r="A51" s="25" t="s">
        <v>0</v>
      </c>
      <c r="B51" s="26" t="s">
        <v>1</v>
      </c>
      <c r="C51" s="26" t="s">
        <v>2</v>
      </c>
      <c r="D51" s="26" t="s">
        <v>3</v>
      </c>
      <c r="E51" s="26" t="s">
        <v>4</v>
      </c>
      <c r="F51" s="26" t="s">
        <v>5</v>
      </c>
      <c r="G51" s="26" t="s">
        <v>6</v>
      </c>
      <c r="H51" s="26" t="s">
        <v>7</v>
      </c>
      <c r="I51" s="26" t="s">
        <v>8</v>
      </c>
      <c r="J51" s="26" t="s">
        <v>9</v>
      </c>
      <c r="K51" s="26" t="s">
        <v>10</v>
      </c>
      <c r="L51" s="26" t="s">
        <v>11</v>
      </c>
      <c r="M51" s="26" t="s">
        <v>12</v>
      </c>
      <c r="N51" s="26" t="s">
        <v>13</v>
      </c>
      <c r="O51" s="26" t="s">
        <v>14</v>
      </c>
      <c r="P51" s="26" t="s">
        <v>15</v>
      </c>
      <c r="Q51" s="26" t="s">
        <v>16</v>
      </c>
      <c r="R51" s="26" t="s">
        <v>17</v>
      </c>
      <c r="S51" s="26" t="s">
        <v>18</v>
      </c>
      <c r="T51" s="26" t="s">
        <v>19</v>
      </c>
      <c r="U51" s="25"/>
      <c r="V51" s="25"/>
    </row>
    <row r="52" spans="1:22" ht="14.25" customHeight="1" x14ac:dyDescent="0.3">
      <c r="A52" s="25" t="s">
        <v>27</v>
      </c>
      <c r="B52" s="26">
        <v>0</v>
      </c>
      <c r="C52" s="26">
        <v>0</v>
      </c>
      <c r="D52" s="26">
        <v>0</v>
      </c>
      <c r="E52" s="26">
        <v>13</v>
      </c>
      <c r="F52" s="26">
        <v>0</v>
      </c>
      <c r="G52" s="26">
        <v>0</v>
      </c>
      <c r="H52" s="26">
        <v>0</v>
      </c>
      <c r="I52" s="26">
        <v>0</v>
      </c>
      <c r="J52" s="26">
        <v>70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92</v>
      </c>
      <c r="Q52" s="26">
        <v>0</v>
      </c>
      <c r="R52" s="26">
        <v>0</v>
      </c>
      <c r="S52" s="26">
        <v>0</v>
      </c>
      <c r="T52" s="26">
        <v>0</v>
      </c>
      <c r="U52" s="25"/>
      <c r="V52" s="25"/>
    </row>
    <row r="53" spans="1:22" ht="14.25" customHeight="1" x14ac:dyDescent="0.3">
      <c r="A53" s="25" t="s">
        <v>28</v>
      </c>
      <c r="B53" s="26">
        <v>0</v>
      </c>
      <c r="C53" s="26">
        <v>0</v>
      </c>
      <c r="D53" s="26">
        <v>0</v>
      </c>
      <c r="E53" s="26">
        <v>11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1</v>
      </c>
      <c r="P53" s="26">
        <v>0</v>
      </c>
      <c r="Q53" s="26">
        <v>0</v>
      </c>
      <c r="R53" s="26">
        <v>0</v>
      </c>
      <c r="S53" s="26">
        <v>0</v>
      </c>
      <c r="T53" s="26">
        <v>0</v>
      </c>
      <c r="U53" s="25"/>
      <c r="V53" s="25"/>
    </row>
    <row r="54" spans="1:22" ht="14.25" customHeight="1" x14ac:dyDescent="0.3">
      <c r="A54" s="25" t="s">
        <v>29</v>
      </c>
      <c r="B54" s="26">
        <v>0</v>
      </c>
      <c r="C54" s="26">
        <v>0</v>
      </c>
      <c r="D54" s="26">
        <v>0</v>
      </c>
      <c r="E54" s="26">
        <v>13</v>
      </c>
      <c r="F54" s="26">
        <v>0</v>
      </c>
      <c r="G54" s="26">
        <v>0</v>
      </c>
      <c r="H54" s="26">
        <v>0</v>
      </c>
      <c r="I54" s="26">
        <v>0</v>
      </c>
      <c r="J54" s="26">
        <v>70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P54" s="26">
        <v>92</v>
      </c>
      <c r="Q54" s="26">
        <v>0</v>
      </c>
      <c r="R54" s="26">
        <v>0</v>
      </c>
      <c r="S54" s="26">
        <v>0</v>
      </c>
      <c r="T54" s="26">
        <v>0</v>
      </c>
      <c r="U54" s="25"/>
      <c r="V54" s="25"/>
    </row>
    <row r="55" spans="1:22" ht="14.25" customHeight="1" x14ac:dyDescent="0.3">
      <c r="A55" s="25"/>
      <c r="U55" s="25"/>
      <c r="V55" s="25"/>
    </row>
    <row r="56" spans="1:22" ht="14.25" customHeight="1" x14ac:dyDescent="0.3">
      <c r="A56" s="25"/>
      <c r="U56" s="25"/>
      <c r="V56" s="25"/>
    </row>
    <row r="57" spans="1:22" ht="14.25" customHeight="1" x14ac:dyDescent="0.3">
      <c r="A57" s="25"/>
      <c r="U57" s="25"/>
      <c r="V57" s="25"/>
    </row>
    <row r="58" spans="1:22" ht="14.25" customHeight="1" x14ac:dyDescent="0.3">
      <c r="A58" s="25"/>
      <c r="U58" s="25"/>
      <c r="V58" s="25"/>
    </row>
    <row r="59" spans="1:22" ht="14.25" customHeight="1" x14ac:dyDescent="0.3">
      <c r="A59" s="25"/>
      <c r="U59" s="25"/>
      <c r="V59" s="25"/>
    </row>
    <row r="60" spans="1:22" ht="14.25" customHeight="1" x14ac:dyDescent="0.3">
      <c r="A60" s="25"/>
      <c r="U60" s="25"/>
      <c r="V60" s="25"/>
    </row>
    <row r="61" spans="1:22" ht="14.25" customHeight="1" x14ac:dyDescent="0.3">
      <c r="A61" s="25"/>
      <c r="U61" s="25"/>
      <c r="V61" s="25"/>
    </row>
    <row r="62" spans="1:22" ht="14.25" customHeight="1" x14ac:dyDescent="0.3">
      <c r="A62" s="25"/>
      <c r="U62" s="25"/>
      <c r="V62" s="25"/>
    </row>
    <row r="63" spans="1:22" ht="14.25" customHeight="1" x14ac:dyDescent="0.3">
      <c r="A63" s="25"/>
      <c r="U63" s="25"/>
      <c r="V63" s="25"/>
    </row>
    <row r="64" spans="1:22" ht="14.25" customHeight="1" x14ac:dyDescent="0.3">
      <c r="A64" s="25"/>
      <c r="U64" s="25"/>
      <c r="V64" s="25"/>
    </row>
    <row r="65" spans="1:22" ht="14.25" customHeight="1" x14ac:dyDescent="0.3">
      <c r="A65" s="25"/>
      <c r="U65" s="25"/>
      <c r="V65" s="25"/>
    </row>
    <row r="66" spans="1:22" ht="14.25" customHeight="1" x14ac:dyDescent="0.3">
      <c r="A66" s="25"/>
      <c r="U66" s="25"/>
      <c r="V66" s="25"/>
    </row>
    <row r="67" spans="1:22" ht="14.25" customHeight="1" x14ac:dyDescent="0.3">
      <c r="A67" s="25"/>
      <c r="U67" s="25"/>
      <c r="V67" s="25"/>
    </row>
    <row r="68" spans="1:22" ht="14.25" customHeight="1" x14ac:dyDescent="0.3">
      <c r="A68" s="25"/>
      <c r="U68" s="25"/>
      <c r="V68" s="25"/>
    </row>
    <row r="69" spans="1:22" ht="14.25" customHeight="1" x14ac:dyDescent="0.3">
      <c r="A69" s="25"/>
      <c r="U69" s="25"/>
      <c r="V69" s="25"/>
    </row>
    <row r="70" spans="1:22" ht="14.25" customHeight="1" x14ac:dyDescent="0.3">
      <c r="A70" s="25"/>
      <c r="U70" s="25"/>
      <c r="V70" s="25"/>
    </row>
    <row r="71" spans="1:22" ht="14.25" customHeight="1" x14ac:dyDescent="0.3">
      <c r="A71" s="25"/>
      <c r="U71" s="25"/>
      <c r="V71" s="25"/>
    </row>
    <row r="72" spans="1:22" ht="14.25" customHeight="1" x14ac:dyDescent="0.3">
      <c r="A72" s="25"/>
      <c r="U72" s="25"/>
      <c r="V72" s="25"/>
    </row>
    <row r="73" spans="1:22" ht="14.25" customHeight="1" x14ac:dyDescent="0.3">
      <c r="A73" s="25"/>
      <c r="U73" s="25"/>
      <c r="V73" s="25"/>
    </row>
    <row r="74" spans="1:22" ht="14.25" customHeight="1" x14ac:dyDescent="0.3">
      <c r="A74" s="25"/>
      <c r="U74" s="25"/>
      <c r="V74" s="25"/>
    </row>
    <row r="75" spans="1:22" ht="14.25" customHeight="1" x14ac:dyDescent="0.3">
      <c r="A75" s="25"/>
      <c r="U75" s="25"/>
      <c r="V75" s="25"/>
    </row>
    <row r="76" spans="1:22" ht="14.25" customHeight="1" x14ac:dyDescent="0.3">
      <c r="A76" s="25"/>
      <c r="U76" s="25"/>
      <c r="V76" s="25"/>
    </row>
    <row r="77" spans="1:22" ht="14.25" customHeight="1" x14ac:dyDescent="0.3">
      <c r="A77" s="25"/>
      <c r="U77" s="25"/>
      <c r="V77" s="25"/>
    </row>
    <row r="78" spans="1:22" ht="14.25" customHeight="1" x14ac:dyDescent="0.3">
      <c r="A78" s="25"/>
      <c r="U78" s="25"/>
      <c r="V78" s="25"/>
    </row>
    <row r="79" spans="1:22" ht="14.25" customHeight="1" x14ac:dyDescent="0.3">
      <c r="A79" s="25" t="s">
        <v>0</v>
      </c>
      <c r="B79" s="26" t="s">
        <v>1</v>
      </c>
      <c r="C79" s="26" t="s">
        <v>2</v>
      </c>
      <c r="D79" s="26" t="s">
        <v>3</v>
      </c>
      <c r="E79" s="26" t="s">
        <v>4</v>
      </c>
      <c r="F79" s="26" t="s">
        <v>5</v>
      </c>
      <c r="G79" s="26" t="s">
        <v>6</v>
      </c>
      <c r="H79" s="26" t="s">
        <v>7</v>
      </c>
      <c r="I79" s="26" t="s">
        <v>8</v>
      </c>
      <c r="J79" s="26" t="s">
        <v>9</v>
      </c>
      <c r="K79" s="26" t="s">
        <v>10</v>
      </c>
      <c r="L79" s="26" t="s">
        <v>11</v>
      </c>
      <c r="M79" s="26" t="s">
        <v>12</v>
      </c>
      <c r="N79" s="26" t="s">
        <v>13</v>
      </c>
      <c r="O79" s="26" t="s">
        <v>14</v>
      </c>
      <c r="P79" s="26" t="s">
        <v>15</v>
      </c>
      <c r="Q79" s="26" t="s">
        <v>16</v>
      </c>
      <c r="R79" s="26" t="s">
        <v>17</v>
      </c>
      <c r="S79" s="26" t="s">
        <v>18</v>
      </c>
      <c r="T79" s="26" t="s">
        <v>19</v>
      </c>
      <c r="U79" s="25"/>
      <c r="V79" s="25"/>
    </row>
    <row r="80" spans="1:22" ht="14.25" customHeight="1" x14ac:dyDescent="0.3">
      <c r="A80" s="25" t="s">
        <v>27</v>
      </c>
      <c r="B80" s="26">
        <v>36</v>
      </c>
      <c r="C80" s="26">
        <v>7</v>
      </c>
      <c r="D80" s="26">
        <v>17</v>
      </c>
      <c r="E80" s="26">
        <v>26</v>
      </c>
      <c r="F80" s="26">
        <v>32</v>
      </c>
      <c r="G80" s="26">
        <v>99</v>
      </c>
      <c r="H80" s="26">
        <v>19</v>
      </c>
      <c r="I80" s="26">
        <v>0</v>
      </c>
      <c r="J80" s="26">
        <v>17</v>
      </c>
      <c r="K80" s="26">
        <v>37</v>
      </c>
      <c r="L80" s="26">
        <v>7</v>
      </c>
      <c r="M80" s="26">
        <v>31</v>
      </c>
      <c r="N80" s="26">
        <v>0</v>
      </c>
      <c r="O80" s="26">
        <v>2</v>
      </c>
      <c r="P80" s="26">
        <v>6</v>
      </c>
      <c r="Q80" s="26">
        <v>40</v>
      </c>
      <c r="R80" s="26">
        <v>55</v>
      </c>
      <c r="S80" s="26">
        <v>44</v>
      </c>
      <c r="T80" s="26">
        <v>0</v>
      </c>
      <c r="U80" s="25"/>
      <c r="V80" s="25"/>
    </row>
    <row r="81" spans="1:22" ht="14.25" customHeight="1" x14ac:dyDescent="0.3">
      <c r="A81" s="25" t="s">
        <v>28</v>
      </c>
      <c r="B81" s="26">
        <v>31</v>
      </c>
      <c r="C81" s="26">
        <v>99</v>
      </c>
      <c r="D81" s="26">
        <v>111</v>
      </c>
      <c r="E81" s="26">
        <v>21</v>
      </c>
      <c r="F81" s="26">
        <v>31</v>
      </c>
      <c r="G81" s="26">
        <v>0</v>
      </c>
      <c r="H81" s="26">
        <v>87</v>
      </c>
      <c r="I81" s="26">
        <v>3</v>
      </c>
      <c r="J81" s="26">
        <v>32</v>
      </c>
      <c r="K81" s="26">
        <v>38</v>
      </c>
      <c r="L81" s="26">
        <v>56</v>
      </c>
      <c r="M81" s="26">
        <v>11</v>
      </c>
      <c r="N81" s="26">
        <v>43</v>
      </c>
      <c r="O81" s="26">
        <v>39</v>
      </c>
      <c r="P81" s="26">
        <v>44</v>
      </c>
      <c r="Q81" s="26">
        <v>119</v>
      </c>
      <c r="R81" s="26">
        <v>12</v>
      </c>
      <c r="S81" s="26">
        <v>55</v>
      </c>
      <c r="T81" s="26">
        <v>4</v>
      </c>
      <c r="U81" s="25"/>
      <c r="V81" s="25"/>
    </row>
    <row r="82" spans="1:22" ht="14.25" customHeight="1" x14ac:dyDescent="0.3">
      <c r="A82" s="25" t="s">
        <v>29</v>
      </c>
      <c r="B82" s="26">
        <v>36</v>
      </c>
      <c r="C82" s="26">
        <v>7</v>
      </c>
      <c r="D82" s="26">
        <v>17</v>
      </c>
      <c r="E82" s="26">
        <v>26</v>
      </c>
      <c r="F82" s="26">
        <v>32</v>
      </c>
      <c r="G82" s="26">
        <v>99</v>
      </c>
      <c r="H82" s="26">
        <v>19</v>
      </c>
      <c r="I82" s="26">
        <v>0</v>
      </c>
      <c r="J82" s="26">
        <v>17</v>
      </c>
      <c r="K82" s="26">
        <v>37</v>
      </c>
      <c r="L82" s="26">
        <v>7</v>
      </c>
      <c r="M82" s="26">
        <v>31</v>
      </c>
      <c r="N82" s="26">
        <v>0</v>
      </c>
      <c r="O82" s="26">
        <v>2</v>
      </c>
      <c r="P82" s="26">
        <v>6</v>
      </c>
      <c r="Q82" s="26">
        <v>40</v>
      </c>
      <c r="R82" s="26">
        <v>55</v>
      </c>
      <c r="S82" s="26">
        <v>44</v>
      </c>
      <c r="T82" s="26">
        <v>0</v>
      </c>
      <c r="U82" s="25"/>
      <c r="V82" s="25"/>
    </row>
    <row r="83" spans="1:22" ht="14.25" customHeight="1" x14ac:dyDescent="0.3">
      <c r="A83" s="25"/>
      <c r="U83" s="25"/>
      <c r="V83" s="25"/>
    </row>
    <row r="84" spans="1:22" ht="14.25" customHeight="1" x14ac:dyDescent="0.3">
      <c r="A84" s="25"/>
      <c r="U84" s="25"/>
      <c r="V84" s="25"/>
    </row>
    <row r="85" spans="1:22" ht="14.25" customHeight="1" x14ac:dyDescent="0.3">
      <c r="A85" s="25"/>
      <c r="U85" s="25"/>
      <c r="V85" s="25"/>
    </row>
    <row r="86" spans="1:22" ht="14.25" customHeight="1" x14ac:dyDescent="0.3">
      <c r="A86" s="25"/>
      <c r="U86" s="25"/>
      <c r="V86" s="25"/>
    </row>
    <row r="87" spans="1:22" ht="14.25" customHeight="1" x14ac:dyDescent="0.3">
      <c r="A87" s="25"/>
      <c r="U87" s="25"/>
      <c r="V87" s="25"/>
    </row>
    <row r="88" spans="1:22" ht="14.25" customHeight="1" x14ac:dyDescent="0.3">
      <c r="A88" s="25"/>
      <c r="U88" s="25"/>
      <c r="V88" s="25"/>
    </row>
    <row r="89" spans="1:22" ht="14.25" customHeight="1" x14ac:dyDescent="0.3">
      <c r="A89" s="25"/>
      <c r="U89" s="25"/>
      <c r="V89" s="25"/>
    </row>
    <row r="90" spans="1:22" ht="14.25" customHeight="1" x14ac:dyDescent="0.3">
      <c r="A90" s="25"/>
      <c r="U90" s="25"/>
      <c r="V90" s="25"/>
    </row>
    <row r="91" spans="1:22" ht="14.25" customHeight="1" x14ac:dyDescent="0.3">
      <c r="A91" s="25"/>
      <c r="U91" s="25"/>
      <c r="V91" s="25"/>
    </row>
    <row r="92" spans="1:22" ht="14.25" customHeight="1" x14ac:dyDescent="0.3">
      <c r="A92" s="25"/>
      <c r="U92" s="25"/>
      <c r="V92" s="25"/>
    </row>
    <row r="93" spans="1:22" ht="14.25" customHeight="1" x14ac:dyDescent="0.3">
      <c r="A93" s="25"/>
      <c r="U93" s="25"/>
      <c r="V93" s="25"/>
    </row>
    <row r="94" spans="1:22" ht="14.25" customHeight="1" x14ac:dyDescent="0.3">
      <c r="A94" s="25"/>
      <c r="U94" s="25"/>
      <c r="V94" s="25"/>
    </row>
    <row r="95" spans="1:22" ht="14.25" customHeight="1" x14ac:dyDescent="0.3">
      <c r="A95" s="25"/>
      <c r="U95" s="25"/>
      <c r="V95" s="25"/>
    </row>
    <row r="96" spans="1:22" ht="14.25" customHeight="1" x14ac:dyDescent="0.3">
      <c r="A96" s="25"/>
      <c r="U96" s="25"/>
      <c r="V96" s="25"/>
    </row>
    <row r="97" spans="1:22" ht="14.25" customHeight="1" x14ac:dyDescent="0.3">
      <c r="A97" s="25"/>
      <c r="U97" s="25"/>
      <c r="V97" s="25"/>
    </row>
    <row r="98" spans="1:22" ht="14.25" customHeight="1" x14ac:dyDescent="0.3">
      <c r="A98" s="25"/>
      <c r="U98" s="25"/>
      <c r="V98" s="25"/>
    </row>
    <row r="99" spans="1:22" ht="14.25" customHeight="1" x14ac:dyDescent="0.3">
      <c r="A99" s="25"/>
      <c r="U99" s="25"/>
      <c r="V99" s="25"/>
    </row>
    <row r="100" spans="1:22" ht="14.25" customHeight="1" x14ac:dyDescent="0.3">
      <c r="A100" s="25"/>
      <c r="U100" s="25"/>
      <c r="V100" s="25"/>
    </row>
    <row r="101" spans="1:22" ht="14.25" customHeight="1" x14ac:dyDescent="0.3">
      <c r="A101" s="25"/>
      <c r="U101" s="25"/>
      <c r="V101" s="25"/>
    </row>
    <row r="102" spans="1:22" ht="14.25" customHeight="1" x14ac:dyDescent="0.3">
      <c r="A102" s="25"/>
      <c r="U102" s="25"/>
      <c r="V102" s="25"/>
    </row>
    <row r="103" spans="1:22" ht="14.25" customHeight="1" x14ac:dyDescent="0.3">
      <c r="A103" s="25"/>
      <c r="U103" s="25"/>
      <c r="V103" s="25"/>
    </row>
    <row r="104" spans="1:22" ht="14.25" customHeight="1" x14ac:dyDescent="0.3">
      <c r="A104" s="25"/>
      <c r="U104" s="25"/>
      <c r="V104" s="25"/>
    </row>
    <row r="105" spans="1:22" ht="14.25" customHeight="1" x14ac:dyDescent="0.3">
      <c r="A105" s="25" t="s">
        <v>0</v>
      </c>
      <c r="B105" s="26" t="s">
        <v>1</v>
      </c>
      <c r="C105" s="26" t="s">
        <v>2</v>
      </c>
      <c r="D105" s="26" t="s">
        <v>3</v>
      </c>
      <c r="E105" s="26" t="s">
        <v>4</v>
      </c>
      <c r="F105" s="26" t="s">
        <v>5</v>
      </c>
      <c r="G105" s="26" t="s">
        <v>6</v>
      </c>
      <c r="H105" s="26" t="s">
        <v>7</v>
      </c>
      <c r="I105" s="26" t="s">
        <v>8</v>
      </c>
      <c r="J105" s="26" t="s">
        <v>9</v>
      </c>
      <c r="K105" s="26" t="s">
        <v>10</v>
      </c>
      <c r="L105" s="26" t="s">
        <v>11</v>
      </c>
      <c r="M105" s="26" t="s">
        <v>12</v>
      </c>
      <c r="N105" s="26" t="s">
        <v>13</v>
      </c>
      <c r="O105" s="26" t="s">
        <v>14</v>
      </c>
      <c r="P105" s="26" t="s">
        <v>15</v>
      </c>
      <c r="Q105" s="26" t="s">
        <v>16</v>
      </c>
      <c r="R105" s="26" t="s">
        <v>17</v>
      </c>
      <c r="S105" s="26" t="s">
        <v>18</v>
      </c>
      <c r="T105" s="26" t="s">
        <v>19</v>
      </c>
      <c r="U105" s="25"/>
      <c r="V105" s="25"/>
    </row>
    <row r="106" spans="1:22" ht="14.25" customHeight="1" x14ac:dyDescent="0.3">
      <c r="A106" s="25" t="s">
        <v>31</v>
      </c>
      <c r="B106" s="26">
        <v>153</v>
      </c>
      <c r="C106" s="26">
        <v>36</v>
      </c>
      <c r="D106" s="26">
        <v>15</v>
      </c>
      <c r="E106" s="26">
        <v>50</v>
      </c>
      <c r="F106" s="26">
        <v>3</v>
      </c>
      <c r="G106" s="26">
        <v>0</v>
      </c>
      <c r="H106" s="26">
        <v>61</v>
      </c>
      <c r="I106" s="26">
        <v>20</v>
      </c>
      <c r="J106" s="26">
        <v>45</v>
      </c>
      <c r="K106" s="26">
        <v>36</v>
      </c>
      <c r="L106" s="26">
        <v>28</v>
      </c>
      <c r="M106" s="26">
        <v>15</v>
      </c>
      <c r="N106" s="26">
        <v>86</v>
      </c>
      <c r="O106" s="26">
        <v>155</v>
      </c>
      <c r="P106" s="26">
        <v>8</v>
      </c>
      <c r="Q106" s="26">
        <v>104</v>
      </c>
      <c r="R106" s="26">
        <v>29</v>
      </c>
      <c r="S106" s="26">
        <v>81</v>
      </c>
      <c r="T106" s="26">
        <v>10</v>
      </c>
      <c r="U106" s="25">
        <f>SUM(B106:T106)</f>
        <v>935</v>
      </c>
      <c r="V106" s="25">
        <f>U106/$U$2*100</f>
        <v>16.580954069870543</v>
      </c>
    </row>
    <row r="107" spans="1:22" ht="14.25" customHeight="1" x14ac:dyDescent="0.3">
      <c r="A107" s="25"/>
      <c r="U107" s="25"/>
      <c r="V107" s="25"/>
    </row>
    <row r="108" spans="1:22" ht="14.25" customHeight="1" x14ac:dyDescent="0.3">
      <c r="A108" s="25"/>
      <c r="U108" s="25"/>
      <c r="V108" s="25"/>
    </row>
    <row r="109" spans="1:22" ht="14.25" customHeight="1" x14ac:dyDescent="0.3">
      <c r="A109" s="25"/>
      <c r="U109" s="25"/>
      <c r="V109" s="25"/>
    </row>
    <row r="110" spans="1:22" ht="14.25" customHeight="1" x14ac:dyDescent="0.3">
      <c r="A110" s="25"/>
      <c r="U110" s="25"/>
      <c r="V110" s="25"/>
    </row>
    <row r="111" spans="1:22" ht="14.25" customHeight="1" x14ac:dyDescent="0.3">
      <c r="A111" s="25"/>
      <c r="U111" s="25"/>
      <c r="V111" s="25"/>
    </row>
    <row r="112" spans="1:22" ht="14.25" customHeight="1" x14ac:dyDescent="0.3">
      <c r="A112" s="25"/>
      <c r="U112" s="25"/>
      <c r="V112" s="25"/>
    </row>
    <row r="113" spans="1:22" ht="14.25" customHeight="1" x14ac:dyDescent="0.3">
      <c r="A113" s="25"/>
      <c r="U113" s="25"/>
      <c r="V113" s="25"/>
    </row>
    <row r="114" spans="1:22" ht="14.25" customHeight="1" x14ac:dyDescent="0.3">
      <c r="A114" s="25"/>
      <c r="U114" s="25"/>
      <c r="V114" s="25"/>
    </row>
    <row r="115" spans="1:22" ht="14.25" customHeight="1" x14ac:dyDescent="0.3">
      <c r="A115" s="25"/>
      <c r="U115" s="25"/>
      <c r="V115" s="25"/>
    </row>
    <row r="116" spans="1:22" ht="14.25" customHeight="1" x14ac:dyDescent="0.3">
      <c r="A116" s="25"/>
      <c r="U116" s="25"/>
      <c r="V116" s="25"/>
    </row>
    <row r="117" spans="1:22" ht="14.25" customHeight="1" x14ac:dyDescent="0.3">
      <c r="A117" s="25"/>
      <c r="U117" s="25"/>
      <c r="V117" s="25"/>
    </row>
    <row r="118" spans="1:22" ht="14.25" customHeight="1" x14ac:dyDescent="0.3">
      <c r="A118" s="25"/>
      <c r="U118" s="25"/>
      <c r="V118" s="25"/>
    </row>
    <row r="119" spans="1:22" ht="14.25" customHeight="1" x14ac:dyDescent="0.3">
      <c r="A119" s="25"/>
      <c r="U119" s="25"/>
      <c r="V119" s="25"/>
    </row>
    <row r="120" spans="1:22" ht="14.25" customHeight="1" x14ac:dyDescent="0.3">
      <c r="A120" s="25"/>
      <c r="U120" s="25"/>
      <c r="V120" s="25"/>
    </row>
    <row r="121" spans="1:22" ht="14.25" customHeight="1" x14ac:dyDescent="0.3">
      <c r="A121" s="25"/>
      <c r="U121" s="25"/>
      <c r="V121" s="25"/>
    </row>
    <row r="122" spans="1:22" ht="14.25" customHeight="1" x14ac:dyDescent="0.3">
      <c r="A122" s="25"/>
      <c r="U122" s="25"/>
      <c r="V122" s="25"/>
    </row>
    <row r="123" spans="1:22" ht="14.25" customHeight="1" x14ac:dyDescent="0.3">
      <c r="A123" s="25"/>
      <c r="U123" s="25"/>
      <c r="V123" s="25"/>
    </row>
    <row r="124" spans="1:22" ht="14.25" customHeight="1" x14ac:dyDescent="0.3">
      <c r="A124" s="25"/>
      <c r="U124" s="25"/>
      <c r="V124" s="25"/>
    </row>
    <row r="125" spans="1:22" ht="14.25" customHeight="1" x14ac:dyDescent="0.3">
      <c r="A125" s="25"/>
      <c r="U125" s="25"/>
      <c r="V125" s="25"/>
    </row>
    <row r="126" spans="1:22" ht="14.25" customHeight="1" x14ac:dyDescent="0.3">
      <c r="A126" s="25"/>
      <c r="U126" s="25"/>
      <c r="V126" s="25"/>
    </row>
    <row r="127" spans="1:22" ht="14.25" customHeight="1" x14ac:dyDescent="0.3">
      <c r="A127" s="25"/>
      <c r="U127" s="25"/>
      <c r="V127" s="25"/>
    </row>
    <row r="128" spans="1:22" ht="14.25" customHeight="1" x14ac:dyDescent="0.3">
      <c r="A128" s="25"/>
      <c r="U128" s="25"/>
      <c r="V128" s="25"/>
    </row>
    <row r="129" spans="1:22" ht="14.25" customHeight="1" x14ac:dyDescent="0.3">
      <c r="A129" s="25"/>
      <c r="U129" s="25"/>
      <c r="V129" s="25"/>
    </row>
    <row r="130" spans="1:22" ht="14.25" customHeight="1" x14ac:dyDescent="0.3">
      <c r="A130" s="25" t="s">
        <v>0</v>
      </c>
      <c r="B130" s="26" t="s">
        <v>1</v>
      </c>
      <c r="C130" s="26" t="s">
        <v>2</v>
      </c>
      <c r="D130" s="26" t="s">
        <v>3</v>
      </c>
      <c r="E130" s="26" t="s">
        <v>4</v>
      </c>
      <c r="F130" s="26" t="s">
        <v>5</v>
      </c>
      <c r="G130" s="26" t="s">
        <v>6</v>
      </c>
      <c r="H130" s="26" t="s">
        <v>7</v>
      </c>
      <c r="I130" s="26" t="s">
        <v>8</v>
      </c>
      <c r="J130" s="26" t="s">
        <v>9</v>
      </c>
      <c r="K130" s="26" t="s">
        <v>10</v>
      </c>
      <c r="L130" s="26" t="s">
        <v>11</v>
      </c>
      <c r="M130" s="26" t="s">
        <v>12</v>
      </c>
      <c r="N130" s="26" t="s">
        <v>13</v>
      </c>
      <c r="O130" s="26" t="s">
        <v>14</v>
      </c>
      <c r="P130" s="26" t="s">
        <v>15</v>
      </c>
      <c r="Q130" s="26" t="s">
        <v>16</v>
      </c>
      <c r="R130" s="26" t="s">
        <v>17</v>
      </c>
      <c r="S130" s="26" t="s">
        <v>18</v>
      </c>
      <c r="T130" s="26" t="s">
        <v>19</v>
      </c>
      <c r="U130" s="25"/>
      <c r="V130" s="25"/>
    </row>
    <row r="131" spans="1:22" ht="14.25" customHeight="1" x14ac:dyDescent="0.3">
      <c r="A131" s="25" t="s">
        <v>33</v>
      </c>
      <c r="B131" s="26">
        <v>0</v>
      </c>
      <c r="C131" s="26">
        <v>0</v>
      </c>
      <c r="D131" s="26">
        <v>0</v>
      </c>
      <c r="E131" s="26">
        <v>9</v>
      </c>
      <c r="F131" s="26">
        <v>0</v>
      </c>
      <c r="G131" s="26">
        <v>0</v>
      </c>
      <c r="H131" s="26">
        <v>0</v>
      </c>
      <c r="I131" s="26">
        <v>0</v>
      </c>
      <c r="J131" s="26">
        <v>52</v>
      </c>
      <c r="K131" s="26">
        <v>0</v>
      </c>
      <c r="L131" s="26">
        <v>0</v>
      </c>
      <c r="M131" s="26">
        <v>0</v>
      </c>
      <c r="N131" s="26">
        <v>0</v>
      </c>
      <c r="O131" s="26">
        <v>0</v>
      </c>
      <c r="P131" s="26">
        <v>34</v>
      </c>
      <c r="Q131" s="26">
        <v>0</v>
      </c>
      <c r="R131" s="26">
        <v>0</v>
      </c>
      <c r="S131" s="26">
        <v>0</v>
      </c>
      <c r="T131" s="26">
        <v>0</v>
      </c>
      <c r="U131" s="25"/>
      <c r="V131" s="25"/>
    </row>
    <row r="132" spans="1:22" ht="14.25" customHeight="1" x14ac:dyDescent="0.3">
      <c r="A132" s="25" t="s">
        <v>34</v>
      </c>
      <c r="B132" s="26">
        <v>0</v>
      </c>
      <c r="C132" s="26">
        <v>0</v>
      </c>
      <c r="D132" s="26">
        <v>0</v>
      </c>
      <c r="E132" s="26">
        <v>0</v>
      </c>
      <c r="F132" s="26">
        <v>0</v>
      </c>
      <c r="G132" s="26">
        <v>0</v>
      </c>
      <c r="H132" s="26">
        <v>0</v>
      </c>
      <c r="I132" s="26">
        <v>0</v>
      </c>
      <c r="J132" s="26">
        <v>7</v>
      </c>
      <c r="K132" s="26">
        <v>0</v>
      </c>
      <c r="L132" s="26">
        <v>0</v>
      </c>
      <c r="M132" s="26">
        <v>0</v>
      </c>
      <c r="N132" s="26">
        <v>0</v>
      </c>
      <c r="O132" s="26">
        <v>0</v>
      </c>
      <c r="P132" s="26">
        <v>8</v>
      </c>
      <c r="Q132" s="26">
        <v>0</v>
      </c>
      <c r="R132" s="26">
        <v>0</v>
      </c>
      <c r="S132" s="26">
        <v>0</v>
      </c>
      <c r="T132" s="26">
        <v>0</v>
      </c>
      <c r="U132" s="25"/>
      <c r="V132" s="25"/>
    </row>
    <row r="133" spans="1:22" ht="14.25" customHeight="1" x14ac:dyDescent="0.3">
      <c r="A133" s="25" t="s">
        <v>35</v>
      </c>
      <c r="B133" s="26">
        <v>0</v>
      </c>
      <c r="C133" s="26">
        <v>0</v>
      </c>
      <c r="D133" s="26">
        <v>0</v>
      </c>
      <c r="E133" s="26">
        <v>0</v>
      </c>
      <c r="F133" s="26">
        <v>0</v>
      </c>
      <c r="G133" s="26">
        <v>0</v>
      </c>
      <c r="H133" s="26">
        <v>0</v>
      </c>
      <c r="I133" s="26">
        <v>0</v>
      </c>
      <c r="J133" s="26">
        <v>0</v>
      </c>
      <c r="K133" s="26">
        <v>0</v>
      </c>
      <c r="L133" s="26">
        <v>0</v>
      </c>
      <c r="M133" s="26">
        <v>0</v>
      </c>
      <c r="N133" s="26">
        <v>0</v>
      </c>
      <c r="O133" s="26">
        <v>0</v>
      </c>
      <c r="P133" s="26">
        <v>0</v>
      </c>
      <c r="Q133" s="26">
        <v>0</v>
      </c>
      <c r="R133" s="26">
        <v>0</v>
      </c>
      <c r="S133" s="26">
        <v>0</v>
      </c>
      <c r="T133" s="26">
        <v>0</v>
      </c>
      <c r="U133" s="25"/>
      <c r="V133" s="25"/>
    </row>
    <row r="134" spans="1:22" ht="14.25" customHeight="1" x14ac:dyDescent="0.3">
      <c r="A134" s="25" t="s">
        <v>36</v>
      </c>
      <c r="B134" s="26">
        <v>116</v>
      </c>
      <c r="C134" s="26">
        <v>24</v>
      </c>
      <c r="D134" s="26">
        <v>12</v>
      </c>
      <c r="E134" s="26">
        <v>49</v>
      </c>
      <c r="F134" s="26">
        <v>3</v>
      </c>
      <c r="G134" s="26">
        <v>0</v>
      </c>
      <c r="H134" s="26">
        <v>36</v>
      </c>
      <c r="I134" s="26">
        <v>20</v>
      </c>
      <c r="J134" s="26">
        <v>25</v>
      </c>
      <c r="K134" s="26">
        <v>19</v>
      </c>
      <c r="L134" s="26">
        <v>18</v>
      </c>
      <c r="M134" s="26">
        <v>11</v>
      </c>
      <c r="N134" s="26">
        <v>86</v>
      </c>
      <c r="O134" s="26">
        <v>153</v>
      </c>
      <c r="P134" s="26">
        <v>0</v>
      </c>
      <c r="Q134" s="26">
        <v>72</v>
      </c>
      <c r="R134" s="26">
        <v>29</v>
      </c>
      <c r="S134" s="26">
        <v>57</v>
      </c>
      <c r="T134" s="26">
        <v>8</v>
      </c>
      <c r="U134" s="25"/>
      <c r="V134" s="25"/>
    </row>
    <row r="135" spans="1:22" ht="14.25" customHeight="1" x14ac:dyDescent="0.3">
      <c r="A135" s="25" t="s">
        <v>37</v>
      </c>
      <c r="B135" s="26">
        <v>37</v>
      </c>
      <c r="C135" s="26">
        <v>12</v>
      </c>
      <c r="D135" s="26">
        <v>3</v>
      </c>
      <c r="E135" s="26">
        <v>1</v>
      </c>
      <c r="F135" s="26">
        <v>0</v>
      </c>
      <c r="G135" s="26">
        <v>0</v>
      </c>
      <c r="H135" s="26">
        <v>25</v>
      </c>
      <c r="I135" s="26">
        <v>0</v>
      </c>
      <c r="J135" s="26">
        <v>13</v>
      </c>
      <c r="K135" s="26">
        <v>17</v>
      </c>
      <c r="L135" s="26">
        <v>10</v>
      </c>
      <c r="M135" s="26">
        <v>4</v>
      </c>
      <c r="N135" s="26">
        <v>0</v>
      </c>
      <c r="O135" s="26">
        <v>2</v>
      </c>
      <c r="P135" s="26">
        <v>0</v>
      </c>
      <c r="Q135" s="26">
        <v>32</v>
      </c>
      <c r="R135" s="26">
        <v>0</v>
      </c>
      <c r="S135" s="26">
        <v>24</v>
      </c>
      <c r="T135" s="26">
        <v>2</v>
      </c>
      <c r="U135" s="25"/>
      <c r="V135" s="25"/>
    </row>
    <row r="136" spans="1:22" ht="14.25" customHeight="1" x14ac:dyDescent="0.3">
      <c r="A136" s="25" t="s">
        <v>38</v>
      </c>
      <c r="B136" s="26">
        <v>30</v>
      </c>
      <c r="C136" s="26">
        <v>94</v>
      </c>
      <c r="D136" s="26">
        <v>125</v>
      </c>
      <c r="E136" s="26">
        <v>31</v>
      </c>
      <c r="F136" s="26">
        <v>63</v>
      </c>
      <c r="G136" s="26">
        <v>99</v>
      </c>
      <c r="H136" s="26">
        <v>81</v>
      </c>
      <c r="I136" s="26">
        <v>3</v>
      </c>
      <c r="J136" s="26">
        <v>25</v>
      </c>
      <c r="K136" s="26">
        <v>58</v>
      </c>
      <c r="L136" s="26">
        <v>53</v>
      </c>
      <c r="M136" s="26">
        <v>38</v>
      </c>
      <c r="N136" s="26">
        <v>43</v>
      </c>
      <c r="O136" s="26">
        <v>38</v>
      </c>
      <c r="P136" s="26">
        <v>0</v>
      </c>
      <c r="Q136" s="26">
        <v>127</v>
      </c>
      <c r="R136" s="26">
        <v>67</v>
      </c>
      <c r="S136" s="26">
        <v>75</v>
      </c>
      <c r="T136" s="26">
        <v>2</v>
      </c>
      <c r="U136" s="25"/>
      <c r="V136" s="25"/>
    </row>
    <row r="137" spans="1:22" ht="14.25" customHeight="1" x14ac:dyDescent="0.3">
      <c r="A137" s="25" t="s">
        <v>39</v>
      </c>
      <c r="B137" s="26">
        <v>0</v>
      </c>
      <c r="C137" s="26">
        <v>0</v>
      </c>
      <c r="D137" s="26">
        <v>0</v>
      </c>
      <c r="E137" s="26">
        <v>15</v>
      </c>
      <c r="F137" s="26">
        <v>0</v>
      </c>
      <c r="G137" s="26">
        <v>0</v>
      </c>
      <c r="H137" s="26">
        <v>0</v>
      </c>
      <c r="I137" s="26">
        <v>0</v>
      </c>
      <c r="J137" s="26">
        <v>11</v>
      </c>
      <c r="K137" s="26">
        <v>0</v>
      </c>
      <c r="L137" s="26">
        <v>0</v>
      </c>
      <c r="M137" s="26">
        <v>0</v>
      </c>
      <c r="N137" s="26">
        <v>0</v>
      </c>
      <c r="O137" s="26">
        <v>1</v>
      </c>
      <c r="P137" s="26">
        <v>50</v>
      </c>
      <c r="Q137" s="26">
        <v>0</v>
      </c>
      <c r="R137" s="26">
        <v>0</v>
      </c>
      <c r="S137" s="26">
        <v>0</v>
      </c>
      <c r="T137" s="26">
        <v>0</v>
      </c>
      <c r="U137" s="25"/>
      <c r="V137" s="25"/>
    </row>
    <row r="138" spans="1:22" ht="14.25" customHeight="1" x14ac:dyDescent="0.3">
      <c r="A138" s="25"/>
      <c r="U138" s="25"/>
      <c r="V138" s="25"/>
    </row>
    <row r="139" spans="1:22" ht="14.25" customHeight="1" x14ac:dyDescent="0.3">
      <c r="A139" s="25"/>
      <c r="U139" s="25"/>
      <c r="V139" s="25"/>
    </row>
    <row r="140" spans="1:22" ht="14.25" customHeight="1" x14ac:dyDescent="0.3">
      <c r="A140" s="25"/>
      <c r="U140" s="25"/>
      <c r="V140" s="25"/>
    </row>
    <row r="141" spans="1:22" ht="14.25" customHeight="1" x14ac:dyDescent="0.3">
      <c r="A141" s="25"/>
      <c r="U141" s="25"/>
      <c r="V141" s="25"/>
    </row>
    <row r="142" spans="1:22" ht="14.25" customHeight="1" x14ac:dyDescent="0.3">
      <c r="A142" s="25"/>
      <c r="U142" s="25"/>
      <c r="V142" s="25"/>
    </row>
    <row r="143" spans="1:22" ht="14.25" customHeight="1" x14ac:dyDescent="0.3">
      <c r="A143" s="25"/>
      <c r="U143" s="25"/>
      <c r="V143" s="25"/>
    </row>
    <row r="144" spans="1:22" ht="14.25" customHeight="1" x14ac:dyDescent="0.3">
      <c r="A144" s="25"/>
      <c r="U144" s="25"/>
      <c r="V144" s="25"/>
    </row>
    <row r="145" spans="1:22" ht="14.25" customHeight="1" x14ac:dyDescent="0.3">
      <c r="A145" s="25"/>
      <c r="U145" s="25"/>
      <c r="V145" s="25"/>
    </row>
    <row r="146" spans="1:22" ht="14.25" customHeight="1" x14ac:dyDescent="0.3">
      <c r="A146" s="25"/>
      <c r="U146" s="25"/>
      <c r="V146" s="25"/>
    </row>
    <row r="147" spans="1:22" ht="14.25" customHeight="1" x14ac:dyDescent="0.3">
      <c r="A147" s="25"/>
      <c r="U147" s="25"/>
      <c r="V147" s="25"/>
    </row>
    <row r="148" spans="1:22" ht="14.25" customHeight="1" x14ac:dyDescent="0.3">
      <c r="A148" s="25"/>
      <c r="U148" s="25"/>
      <c r="V148" s="25"/>
    </row>
    <row r="149" spans="1:22" ht="14.25" customHeight="1" x14ac:dyDescent="0.3">
      <c r="A149" s="25"/>
      <c r="U149" s="25"/>
      <c r="V149" s="25"/>
    </row>
    <row r="150" spans="1:22" ht="14.25" customHeight="1" x14ac:dyDescent="0.3">
      <c r="A150" s="25"/>
      <c r="U150" s="25"/>
      <c r="V150" s="25"/>
    </row>
    <row r="151" spans="1:22" ht="14.25" customHeight="1" x14ac:dyDescent="0.3">
      <c r="A151" s="25"/>
      <c r="U151" s="25"/>
      <c r="V151" s="25"/>
    </row>
    <row r="152" spans="1:22" ht="14.25" customHeight="1" x14ac:dyDescent="0.3">
      <c r="A152" s="25"/>
      <c r="U152" s="25"/>
      <c r="V152" s="25"/>
    </row>
    <row r="153" spans="1:22" ht="14.25" customHeight="1" x14ac:dyDescent="0.3">
      <c r="A153" s="25"/>
      <c r="U153" s="25"/>
      <c r="V153" s="25"/>
    </row>
    <row r="154" spans="1:22" ht="14.25" customHeight="1" x14ac:dyDescent="0.3">
      <c r="A154" s="25"/>
      <c r="U154" s="25"/>
      <c r="V154" s="25"/>
    </row>
    <row r="155" spans="1:22" ht="14.25" customHeight="1" x14ac:dyDescent="0.3">
      <c r="A155" s="25"/>
      <c r="U155" s="25"/>
      <c r="V155" s="25"/>
    </row>
    <row r="156" spans="1:22" ht="14.25" customHeight="1" x14ac:dyDescent="0.3">
      <c r="A156" s="25"/>
      <c r="U156" s="25"/>
      <c r="V156" s="25"/>
    </row>
    <row r="157" spans="1:22" ht="14.25" customHeight="1" x14ac:dyDescent="0.3">
      <c r="A157" s="25"/>
      <c r="U157" s="25"/>
      <c r="V157" s="25"/>
    </row>
    <row r="158" spans="1:22" ht="14.25" customHeight="1" x14ac:dyDescent="0.3">
      <c r="A158" s="25"/>
      <c r="U158" s="25"/>
      <c r="V158" s="25"/>
    </row>
    <row r="159" spans="1:22" ht="14.25" customHeight="1" x14ac:dyDescent="0.3">
      <c r="A159" s="25"/>
      <c r="U159" s="25"/>
      <c r="V159" s="25"/>
    </row>
    <row r="160" spans="1:22" ht="14.25" customHeight="1" x14ac:dyDescent="0.3">
      <c r="A160" s="25" t="s">
        <v>0</v>
      </c>
      <c r="B160" s="25" t="s">
        <v>48</v>
      </c>
      <c r="C160" s="25" t="s">
        <v>21</v>
      </c>
    </row>
    <row r="161" spans="1:3" ht="14.25" customHeight="1" x14ac:dyDescent="0.3">
      <c r="A161" s="25" t="s">
        <v>22</v>
      </c>
      <c r="B161" s="25">
        <v>5639</v>
      </c>
      <c r="C161" s="33">
        <v>100</v>
      </c>
    </row>
    <row r="162" spans="1:3" ht="14.25" customHeight="1" x14ac:dyDescent="0.3">
      <c r="A162" s="25" t="s">
        <v>23</v>
      </c>
      <c r="B162" s="25">
        <v>2159</v>
      </c>
      <c r="C162" s="33">
        <v>38.28693030679198</v>
      </c>
    </row>
    <row r="163" spans="1:3" ht="14.25" customHeight="1" x14ac:dyDescent="0.3">
      <c r="A163" s="25" t="s">
        <v>24</v>
      </c>
      <c r="B163" s="25">
        <v>3480</v>
      </c>
      <c r="C163" s="33">
        <v>61.713069693208013</v>
      </c>
    </row>
    <row r="164" spans="1:3" ht="14.25" customHeight="1" x14ac:dyDescent="0.3">
      <c r="A164" s="25" t="s">
        <v>25</v>
      </c>
      <c r="B164" s="25"/>
      <c r="C164" s="33"/>
    </row>
    <row r="165" spans="1:3" ht="14.25" customHeight="1" x14ac:dyDescent="0.3">
      <c r="A165" s="25" t="s">
        <v>26</v>
      </c>
      <c r="B165" s="25"/>
      <c r="C165" s="33"/>
    </row>
    <row r="166" spans="1:3" ht="14.25" customHeight="1" x14ac:dyDescent="0.3">
      <c r="A166" s="25" t="s">
        <v>27</v>
      </c>
      <c r="B166" s="25">
        <v>175</v>
      </c>
      <c r="C166" s="33">
        <v>3.1033871253768401</v>
      </c>
    </row>
    <row r="167" spans="1:3" ht="14.25" customHeight="1" x14ac:dyDescent="0.3">
      <c r="A167" s="25" t="s">
        <v>28</v>
      </c>
      <c r="B167" s="25">
        <v>12</v>
      </c>
      <c r="C167" s="33">
        <v>0.212803688597269</v>
      </c>
    </row>
    <row r="168" spans="1:3" ht="14.25" customHeight="1" x14ac:dyDescent="0.3">
      <c r="A168" s="25" t="s">
        <v>29</v>
      </c>
      <c r="B168" s="27">
        <v>175</v>
      </c>
      <c r="C168" s="34">
        <v>3.1033871253768401</v>
      </c>
    </row>
    <row r="169" spans="1:3" ht="14.25" customHeight="1" x14ac:dyDescent="0.3">
      <c r="A169" s="25" t="s">
        <v>25</v>
      </c>
      <c r="B169" s="25"/>
      <c r="C169" s="33"/>
    </row>
    <row r="170" spans="1:3" ht="14.25" customHeight="1" x14ac:dyDescent="0.3">
      <c r="A170" s="25" t="s">
        <v>30</v>
      </c>
      <c r="B170" s="25"/>
      <c r="C170" s="33"/>
    </row>
    <row r="171" spans="1:3" ht="14.25" customHeight="1" x14ac:dyDescent="0.3">
      <c r="A171" s="25" t="s">
        <v>27</v>
      </c>
      <c r="B171" s="25">
        <v>475</v>
      </c>
      <c r="C171" s="33">
        <v>8.4234793403085657</v>
      </c>
    </row>
    <row r="172" spans="1:3" ht="14.25" customHeight="1" x14ac:dyDescent="0.3">
      <c r="A172" s="25" t="s">
        <v>28</v>
      </c>
      <c r="B172" s="25">
        <v>836</v>
      </c>
      <c r="C172" s="33">
        <v>14.825323638943075</v>
      </c>
    </row>
    <row r="173" spans="1:3" ht="14.25" customHeight="1" x14ac:dyDescent="0.3">
      <c r="A173" s="25" t="s">
        <v>29</v>
      </c>
      <c r="B173" s="27">
        <v>475</v>
      </c>
      <c r="C173" s="34">
        <v>8.4234793403085657</v>
      </c>
    </row>
    <row r="174" spans="1:3" ht="14.25" customHeight="1" x14ac:dyDescent="0.3">
      <c r="A174" s="25" t="s">
        <v>25</v>
      </c>
      <c r="B174" s="25"/>
      <c r="C174" s="33"/>
    </row>
    <row r="175" spans="1:3" ht="14.25" customHeight="1" x14ac:dyDescent="0.3">
      <c r="A175" s="25" t="s">
        <v>31</v>
      </c>
      <c r="B175" s="25">
        <v>935</v>
      </c>
      <c r="C175" s="33">
        <v>16.580954069870543</v>
      </c>
    </row>
    <row r="176" spans="1:3" ht="14.25" customHeight="1" x14ac:dyDescent="0.3">
      <c r="A176" s="25" t="s">
        <v>25</v>
      </c>
      <c r="B176" s="25"/>
      <c r="C176" s="33"/>
    </row>
    <row r="177" spans="1:22" ht="14.25" customHeight="1" x14ac:dyDescent="0.3">
      <c r="A177" s="25" t="s">
        <v>32</v>
      </c>
      <c r="B177" s="25"/>
      <c r="C177" s="33"/>
    </row>
    <row r="178" spans="1:22" ht="14.25" customHeight="1" x14ac:dyDescent="0.3">
      <c r="A178" s="25" t="s">
        <v>33</v>
      </c>
      <c r="B178" s="25">
        <v>95</v>
      </c>
      <c r="C178" s="33">
        <v>1.684695868061713</v>
      </c>
    </row>
    <row r="179" spans="1:22" ht="14.25" customHeight="1" x14ac:dyDescent="0.3">
      <c r="A179" s="25" t="s">
        <v>34</v>
      </c>
      <c r="B179" s="25">
        <v>15</v>
      </c>
      <c r="C179" s="33">
        <v>0.26600461074658627</v>
      </c>
    </row>
    <row r="180" spans="1:22" ht="14.25" customHeight="1" x14ac:dyDescent="0.3">
      <c r="A180" s="25" t="s">
        <v>35</v>
      </c>
      <c r="B180" s="25">
        <v>0</v>
      </c>
      <c r="C180" s="33">
        <v>0</v>
      </c>
    </row>
    <row r="181" spans="1:22" ht="14.25" customHeight="1" x14ac:dyDescent="0.3">
      <c r="A181" s="25" t="s">
        <v>36</v>
      </c>
      <c r="B181" s="25">
        <v>738</v>
      </c>
      <c r="C181" s="33">
        <v>13.087426848732045</v>
      </c>
    </row>
    <row r="182" spans="1:22" ht="14.25" customHeight="1" x14ac:dyDescent="0.3">
      <c r="A182" s="25" t="s">
        <v>37</v>
      </c>
      <c r="B182" s="25">
        <v>182</v>
      </c>
      <c r="C182" s="33">
        <v>3.2275226103919135</v>
      </c>
    </row>
    <row r="183" spans="1:22" ht="14.25" customHeight="1" x14ac:dyDescent="0.3">
      <c r="A183" s="25" t="s">
        <v>38</v>
      </c>
      <c r="B183" s="25">
        <v>1052</v>
      </c>
      <c r="C183" s="33">
        <v>18.655790033693918</v>
      </c>
    </row>
    <row r="184" spans="1:22" ht="14.25" customHeight="1" x14ac:dyDescent="0.3">
      <c r="A184" s="25" t="s">
        <v>39</v>
      </c>
      <c r="B184" s="25">
        <v>77</v>
      </c>
      <c r="C184" s="33">
        <v>1.3654903351658096</v>
      </c>
    </row>
    <row r="185" spans="1:22" ht="14.25" customHeight="1" x14ac:dyDescent="0.3">
      <c r="A185" s="25"/>
      <c r="U185" s="25"/>
      <c r="V185" s="25"/>
    </row>
    <row r="186" spans="1:22" ht="14.25" customHeight="1" x14ac:dyDescent="0.3">
      <c r="A186" s="25"/>
      <c r="U186" s="25"/>
      <c r="V186" s="25"/>
    </row>
    <row r="187" spans="1:22" ht="14.25" customHeight="1" x14ac:dyDescent="0.3">
      <c r="A187" s="25"/>
      <c r="U187" s="25"/>
      <c r="V187" s="25"/>
    </row>
    <row r="188" spans="1:22" ht="14.25" customHeight="1" x14ac:dyDescent="0.3">
      <c r="A188" s="25"/>
      <c r="U188" s="25"/>
      <c r="V188" s="25"/>
    </row>
    <row r="189" spans="1:22" ht="14.25" customHeight="1" x14ac:dyDescent="0.3">
      <c r="A189" s="25"/>
      <c r="U189" s="25"/>
      <c r="V189" s="25"/>
    </row>
    <row r="190" spans="1:22" ht="14.25" customHeight="1" x14ac:dyDescent="0.3">
      <c r="A190" s="25" t="s">
        <v>0</v>
      </c>
      <c r="B190" s="26" t="s">
        <v>1</v>
      </c>
      <c r="C190" s="26" t="s">
        <v>2</v>
      </c>
      <c r="D190" s="26" t="s">
        <v>3</v>
      </c>
      <c r="E190" s="26" t="s">
        <v>4</v>
      </c>
      <c r="F190" s="26" t="s">
        <v>5</v>
      </c>
      <c r="G190" s="26" t="s">
        <v>6</v>
      </c>
      <c r="H190" s="26" t="s">
        <v>7</v>
      </c>
      <c r="I190" s="26" t="s">
        <v>8</v>
      </c>
      <c r="J190" s="26" t="s">
        <v>9</v>
      </c>
      <c r="K190" s="26" t="s">
        <v>10</v>
      </c>
      <c r="L190" s="26" t="s">
        <v>11</v>
      </c>
      <c r="M190" s="26" t="s">
        <v>12</v>
      </c>
      <c r="N190" s="26" t="s">
        <v>13</v>
      </c>
      <c r="O190" s="26" t="s">
        <v>14</v>
      </c>
      <c r="P190" s="26" t="s">
        <v>15</v>
      </c>
      <c r="Q190" s="26" t="s">
        <v>16</v>
      </c>
      <c r="R190" s="26" t="s">
        <v>17</v>
      </c>
      <c r="S190" s="26" t="s">
        <v>18</v>
      </c>
      <c r="T190" s="26" t="s">
        <v>19</v>
      </c>
      <c r="U190" s="25" t="s">
        <v>20</v>
      </c>
      <c r="V190" s="25" t="s">
        <v>21</v>
      </c>
    </row>
    <row r="191" spans="1:22" ht="14.25" customHeight="1" x14ac:dyDescent="0.3">
      <c r="A191" s="25" t="s">
        <v>22</v>
      </c>
      <c r="B191" s="26">
        <v>318</v>
      </c>
      <c r="C191" s="26">
        <v>317</v>
      </c>
      <c r="D191" s="26">
        <v>304</v>
      </c>
      <c r="E191" s="26">
        <v>145</v>
      </c>
      <c r="F191" s="26">
        <v>210</v>
      </c>
      <c r="G191" s="26">
        <v>161</v>
      </c>
      <c r="H191" s="26">
        <v>254</v>
      </c>
      <c r="I191" s="26">
        <v>106</v>
      </c>
      <c r="J191" s="26">
        <v>196</v>
      </c>
      <c r="K191" s="26">
        <v>776</v>
      </c>
      <c r="L191" s="26">
        <v>210</v>
      </c>
      <c r="M191" s="26">
        <v>155</v>
      </c>
      <c r="N191" s="26">
        <v>210</v>
      </c>
      <c r="O191" s="26">
        <v>825</v>
      </c>
      <c r="P191" s="26">
        <v>104</v>
      </c>
      <c r="Q191" s="26">
        <v>711</v>
      </c>
      <c r="R191" s="26">
        <v>203</v>
      </c>
      <c r="S191" s="26">
        <v>333</v>
      </c>
      <c r="T191" s="26">
        <v>101</v>
      </c>
      <c r="U191" s="25">
        <f t="shared" ref="U191:U193" si="9">SUM(B191:T191)</f>
        <v>5639</v>
      </c>
      <c r="V191" s="25">
        <v>100</v>
      </c>
    </row>
    <row r="192" spans="1:22" ht="14.25" customHeight="1" x14ac:dyDescent="0.3">
      <c r="A192" s="25" t="s">
        <v>23</v>
      </c>
      <c r="B192" s="26">
        <v>183</v>
      </c>
      <c r="C192" s="26">
        <v>130</v>
      </c>
      <c r="D192" s="26">
        <v>140</v>
      </c>
      <c r="E192" s="26">
        <v>105</v>
      </c>
      <c r="F192" s="26">
        <v>66</v>
      </c>
      <c r="G192" s="26">
        <v>99</v>
      </c>
      <c r="H192" s="26">
        <v>142</v>
      </c>
      <c r="I192" s="26">
        <v>23</v>
      </c>
      <c r="J192" s="26">
        <v>133</v>
      </c>
      <c r="K192" s="26">
        <v>94</v>
      </c>
      <c r="L192" s="26">
        <v>81</v>
      </c>
      <c r="M192" s="26">
        <v>53</v>
      </c>
      <c r="N192" s="26">
        <v>129</v>
      </c>
      <c r="O192" s="26">
        <v>194</v>
      </c>
      <c r="P192" s="26">
        <v>92</v>
      </c>
      <c r="Q192" s="26">
        <v>231</v>
      </c>
      <c r="R192" s="26">
        <v>96</v>
      </c>
      <c r="S192" s="26">
        <v>156</v>
      </c>
      <c r="T192" s="26">
        <v>12</v>
      </c>
      <c r="U192" s="25">
        <f t="shared" si="9"/>
        <v>2159</v>
      </c>
      <c r="V192" s="25">
        <f t="shared" ref="V192:V193" si="10">U192/$U$2*100</f>
        <v>38.28693030679198</v>
      </c>
    </row>
    <row r="193" spans="1:22" ht="14.25" customHeight="1" x14ac:dyDescent="0.3">
      <c r="A193" s="25" t="s">
        <v>24</v>
      </c>
      <c r="B193" s="26">
        <v>135</v>
      </c>
      <c r="C193" s="26">
        <v>187</v>
      </c>
      <c r="D193" s="26">
        <v>164</v>
      </c>
      <c r="E193" s="26">
        <v>40</v>
      </c>
      <c r="F193" s="26">
        <v>144</v>
      </c>
      <c r="G193" s="26">
        <v>62</v>
      </c>
      <c r="H193" s="26">
        <v>112</v>
      </c>
      <c r="I193" s="26">
        <v>83</v>
      </c>
      <c r="J193" s="26">
        <v>63</v>
      </c>
      <c r="K193" s="26">
        <v>682</v>
      </c>
      <c r="L193" s="26">
        <v>129</v>
      </c>
      <c r="M193" s="26">
        <v>102</v>
      </c>
      <c r="N193" s="26">
        <v>81</v>
      </c>
      <c r="O193" s="26">
        <v>631</v>
      </c>
      <c r="P193" s="26">
        <v>12</v>
      </c>
      <c r="Q193" s="26">
        <v>480</v>
      </c>
      <c r="R193" s="26">
        <v>107</v>
      </c>
      <c r="S193" s="26">
        <v>177</v>
      </c>
      <c r="T193" s="26">
        <v>89</v>
      </c>
      <c r="U193" s="25">
        <f t="shared" si="9"/>
        <v>3480</v>
      </c>
      <c r="V193" s="25">
        <f t="shared" si="10"/>
        <v>61.713069693208013</v>
      </c>
    </row>
    <row r="194" spans="1:22" ht="14.25" customHeight="1" x14ac:dyDescent="0.3">
      <c r="A194" s="25"/>
      <c r="U194" s="25"/>
      <c r="V194" s="25"/>
    </row>
    <row r="195" spans="1:22" ht="14.25" customHeight="1" x14ac:dyDescent="0.3">
      <c r="A195" s="25"/>
      <c r="U195" s="25"/>
      <c r="V195" s="25"/>
    </row>
    <row r="196" spans="1:22" ht="14.25" customHeight="1" x14ac:dyDescent="0.3">
      <c r="A196" s="25"/>
      <c r="U196" s="25"/>
      <c r="V196" s="25"/>
    </row>
    <row r="197" spans="1:22" ht="14.25" customHeight="1" x14ac:dyDescent="0.3">
      <c r="A197" s="25"/>
      <c r="U197" s="25"/>
      <c r="V197" s="25"/>
    </row>
    <row r="198" spans="1:22" ht="14.25" customHeight="1" x14ac:dyDescent="0.3">
      <c r="A198" s="25"/>
      <c r="U198" s="25"/>
      <c r="V198" s="25"/>
    </row>
    <row r="199" spans="1:22" ht="14.25" customHeight="1" x14ac:dyDescent="0.3">
      <c r="A199" s="25"/>
      <c r="U199" s="25"/>
      <c r="V199" s="25"/>
    </row>
    <row r="200" spans="1:22" ht="14.25" customHeight="1" x14ac:dyDescent="0.3">
      <c r="A200" s="25"/>
      <c r="U200" s="25"/>
      <c r="V200" s="25"/>
    </row>
    <row r="201" spans="1:22" ht="14.25" customHeight="1" x14ac:dyDescent="0.3">
      <c r="A201" s="25"/>
      <c r="U201" s="25"/>
      <c r="V201" s="25"/>
    </row>
    <row r="202" spans="1:22" ht="14.25" customHeight="1" x14ac:dyDescent="0.3">
      <c r="A202" s="25"/>
      <c r="U202" s="25"/>
      <c r="V202" s="25"/>
    </row>
    <row r="203" spans="1:22" ht="14.25" customHeight="1" x14ac:dyDescent="0.3">
      <c r="A203" s="25"/>
      <c r="U203" s="25"/>
      <c r="V203" s="25"/>
    </row>
    <row r="204" spans="1:22" ht="14.25" customHeight="1" x14ac:dyDescent="0.3">
      <c r="A204" s="25"/>
      <c r="U204" s="25"/>
      <c r="V204" s="25"/>
    </row>
    <row r="205" spans="1:22" ht="14.25" customHeight="1" x14ac:dyDescent="0.3">
      <c r="A205" s="25"/>
      <c r="U205" s="25"/>
      <c r="V205" s="25"/>
    </row>
    <row r="206" spans="1:22" ht="14.25" customHeight="1" x14ac:dyDescent="0.3">
      <c r="A206" s="25"/>
      <c r="U206" s="25"/>
      <c r="V206" s="25"/>
    </row>
    <row r="207" spans="1:22" ht="14.25" customHeight="1" x14ac:dyDescent="0.3">
      <c r="A207" s="25"/>
      <c r="U207" s="25"/>
      <c r="V207" s="25"/>
    </row>
    <row r="208" spans="1:22" ht="14.25" customHeight="1" x14ac:dyDescent="0.3">
      <c r="A208" s="25"/>
      <c r="U208" s="25"/>
      <c r="V208" s="25"/>
    </row>
    <row r="209" spans="1:22" ht="14.25" customHeight="1" x14ac:dyDescent="0.3">
      <c r="A209" s="25"/>
      <c r="U209" s="25"/>
      <c r="V209" s="25"/>
    </row>
    <row r="210" spans="1:22" ht="14.25" customHeight="1" x14ac:dyDescent="0.3">
      <c r="A210" s="25"/>
      <c r="U210" s="25"/>
      <c r="V210" s="25"/>
    </row>
    <row r="211" spans="1:22" ht="14.25" customHeight="1" x14ac:dyDescent="0.3">
      <c r="A211" s="25"/>
      <c r="U211" s="25"/>
      <c r="V211" s="25"/>
    </row>
    <row r="212" spans="1:22" ht="14.25" customHeight="1" x14ac:dyDescent="0.3">
      <c r="A212" s="25"/>
      <c r="U212" s="25"/>
      <c r="V212" s="25"/>
    </row>
    <row r="213" spans="1:22" ht="14.25" customHeight="1" x14ac:dyDescent="0.3">
      <c r="A213" s="25"/>
      <c r="U213" s="25"/>
      <c r="V213" s="25"/>
    </row>
    <row r="214" spans="1:22" ht="14.25" customHeight="1" x14ac:dyDescent="0.3">
      <c r="A214" s="25"/>
      <c r="U214" s="25"/>
      <c r="V214" s="25"/>
    </row>
    <row r="215" spans="1:22" ht="14.25" customHeight="1" x14ac:dyDescent="0.3">
      <c r="A215" s="25"/>
      <c r="U215" s="25"/>
      <c r="V215" s="25"/>
    </row>
    <row r="216" spans="1:22" ht="14.25" customHeight="1" x14ac:dyDescent="0.3">
      <c r="A216" s="25"/>
      <c r="U216" s="25"/>
      <c r="V216" s="25"/>
    </row>
    <row r="217" spans="1:22" ht="14.25" customHeight="1" x14ac:dyDescent="0.3">
      <c r="A217" s="25"/>
      <c r="U217" s="25"/>
      <c r="V217" s="25"/>
    </row>
    <row r="218" spans="1:22" ht="14.25" customHeight="1" x14ac:dyDescent="0.3">
      <c r="A218" s="25"/>
      <c r="U218" s="25"/>
      <c r="V218" s="25"/>
    </row>
    <row r="219" spans="1:22" ht="14.25" customHeight="1" x14ac:dyDescent="0.3">
      <c r="A219" s="25"/>
      <c r="U219" s="25"/>
      <c r="V219" s="25"/>
    </row>
    <row r="220" spans="1:22" ht="14.25" customHeight="1" x14ac:dyDescent="0.3">
      <c r="A220" s="25"/>
      <c r="U220" s="25"/>
      <c r="V220" s="25"/>
    </row>
    <row r="221" spans="1:22" ht="14.25" customHeight="1" x14ac:dyDescent="0.3">
      <c r="A221" s="25"/>
      <c r="U221" s="25"/>
      <c r="V221" s="25"/>
    </row>
    <row r="222" spans="1:22" ht="14.25" customHeight="1" x14ac:dyDescent="0.3">
      <c r="A222" s="25"/>
      <c r="U222" s="25"/>
      <c r="V222" s="25"/>
    </row>
    <row r="223" spans="1:22" ht="14.25" customHeight="1" x14ac:dyDescent="0.3">
      <c r="A223" s="25"/>
      <c r="U223" s="25"/>
      <c r="V223" s="25"/>
    </row>
    <row r="224" spans="1:22" ht="14.25" customHeight="1" x14ac:dyDescent="0.3">
      <c r="A224" s="25"/>
      <c r="U224" s="25"/>
      <c r="V224" s="25"/>
    </row>
    <row r="225" spans="1:22" ht="14.25" customHeight="1" x14ac:dyDescent="0.3">
      <c r="A225" s="25"/>
      <c r="U225" s="25"/>
      <c r="V225" s="25"/>
    </row>
    <row r="226" spans="1:22" ht="14.25" customHeight="1" x14ac:dyDescent="0.3">
      <c r="A226" s="25"/>
      <c r="U226" s="25"/>
      <c r="V226" s="25"/>
    </row>
    <row r="227" spans="1:22" ht="14.25" customHeight="1" x14ac:dyDescent="0.3">
      <c r="A227" s="25"/>
      <c r="U227" s="25"/>
      <c r="V227" s="25"/>
    </row>
    <row r="228" spans="1:22" ht="14.25" customHeight="1" x14ac:dyDescent="0.3">
      <c r="A228" s="25"/>
      <c r="U228" s="25"/>
      <c r="V228" s="25"/>
    </row>
    <row r="229" spans="1:22" ht="14.25" customHeight="1" x14ac:dyDescent="0.3">
      <c r="A229" s="25"/>
      <c r="U229" s="25"/>
      <c r="V229" s="25"/>
    </row>
    <row r="230" spans="1:22" ht="14.25" customHeight="1" x14ac:dyDescent="0.3">
      <c r="A230" s="25"/>
      <c r="U230" s="25"/>
      <c r="V230" s="25"/>
    </row>
    <row r="231" spans="1:22" ht="14.25" customHeight="1" x14ac:dyDescent="0.3">
      <c r="A231" s="25"/>
      <c r="U231" s="25"/>
      <c r="V231" s="25"/>
    </row>
    <row r="232" spans="1:22" ht="14.25" customHeight="1" x14ac:dyDescent="0.3">
      <c r="A232" s="25"/>
      <c r="U232" s="25"/>
      <c r="V232" s="25"/>
    </row>
    <row r="233" spans="1:22" ht="14.25" customHeight="1" x14ac:dyDescent="0.3">
      <c r="A233" s="25"/>
      <c r="U233" s="25"/>
      <c r="V233" s="25"/>
    </row>
    <row r="234" spans="1:22" ht="14.25" customHeight="1" x14ac:dyDescent="0.3">
      <c r="A234" s="25"/>
      <c r="U234" s="25"/>
      <c r="V234" s="25"/>
    </row>
    <row r="235" spans="1:22" ht="14.25" customHeight="1" x14ac:dyDescent="0.3">
      <c r="A235" s="25"/>
      <c r="U235" s="25"/>
      <c r="V235" s="25"/>
    </row>
    <row r="236" spans="1:22" ht="14.25" customHeight="1" x14ac:dyDescent="0.3">
      <c r="A236" s="25"/>
      <c r="U236" s="25"/>
      <c r="V236" s="25"/>
    </row>
    <row r="237" spans="1:22" ht="14.25" customHeight="1" x14ac:dyDescent="0.3">
      <c r="A237" s="25"/>
      <c r="U237" s="25"/>
      <c r="V237" s="25"/>
    </row>
    <row r="238" spans="1:22" ht="14.25" customHeight="1" x14ac:dyDescent="0.3">
      <c r="A238" s="25"/>
      <c r="U238" s="25"/>
      <c r="V238" s="25"/>
    </row>
    <row r="239" spans="1:22" ht="14.25" customHeight="1" x14ac:dyDescent="0.3">
      <c r="A239" s="25"/>
      <c r="U239" s="25"/>
      <c r="V239" s="25"/>
    </row>
    <row r="240" spans="1:22" ht="14.25" customHeight="1" x14ac:dyDescent="0.3">
      <c r="A240" s="25"/>
      <c r="U240" s="25"/>
      <c r="V240" s="25"/>
    </row>
    <row r="241" spans="1:22" ht="14.25" customHeight="1" x14ac:dyDescent="0.3">
      <c r="A241" s="25"/>
      <c r="U241" s="25"/>
      <c r="V241" s="25"/>
    </row>
    <row r="242" spans="1:22" ht="14.25" customHeight="1" x14ac:dyDescent="0.3">
      <c r="A242" s="25"/>
      <c r="U242" s="25"/>
      <c r="V242" s="25"/>
    </row>
    <row r="243" spans="1:22" ht="14.25" customHeight="1" x14ac:dyDescent="0.3">
      <c r="A243" s="25"/>
      <c r="U243" s="25"/>
      <c r="V243" s="25"/>
    </row>
    <row r="244" spans="1:22" ht="14.25" customHeight="1" x14ac:dyDescent="0.3">
      <c r="A244" s="25"/>
      <c r="U244" s="25"/>
      <c r="V244" s="25"/>
    </row>
    <row r="245" spans="1:22" ht="14.25" customHeight="1" x14ac:dyDescent="0.3">
      <c r="A245" s="25"/>
      <c r="U245" s="25"/>
      <c r="V245" s="25"/>
    </row>
    <row r="246" spans="1:22" ht="14.25" customHeight="1" x14ac:dyDescent="0.3">
      <c r="A246" s="25"/>
      <c r="U246" s="25"/>
      <c r="V246" s="25"/>
    </row>
    <row r="247" spans="1:22" ht="14.25" customHeight="1" x14ac:dyDescent="0.3">
      <c r="A247" s="25"/>
      <c r="U247" s="25"/>
      <c r="V247" s="25"/>
    </row>
    <row r="248" spans="1:22" ht="14.25" customHeight="1" x14ac:dyDescent="0.3">
      <c r="A248" s="25"/>
      <c r="U248" s="25"/>
      <c r="V248" s="25"/>
    </row>
    <row r="249" spans="1:22" ht="14.25" customHeight="1" x14ac:dyDescent="0.3">
      <c r="A249" s="25"/>
      <c r="U249" s="25"/>
      <c r="V249" s="25"/>
    </row>
    <row r="250" spans="1:22" ht="14.25" customHeight="1" x14ac:dyDescent="0.3">
      <c r="A250" s="25"/>
      <c r="U250" s="25"/>
      <c r="V250" s="25"/>
    </row>
    <row r="251" spans="1:22" ht="14.25" customHeight="1" x14ac:dyDescent="0.3">
      <c r="A251" s="25"/>
      <c r="U251" s="25"/>
      <c r="V251" s="25"/>
    </row>
    <row r="252" spans="1:22" ht="14.25" customHeight="1" x14ac:dyDescent="0.3">
      <c r="A252" s="25"/>
      <c r="U252" s="25"/>
      <c r="V252" s="25"/>
    </row>
    <row r="253" spans="1:22" ht="14.25" customHeight="1" x14ac:dyDescent="0.3">
      <c r="A253" s="25"/>
      <c r="U253" s="25"/>
      <c r="V253" s="25"/>
    </row>
    <row r="254" spans="1:22" ht="14.25" customHeight="1" x14ac:dyDescent="0.3">
      <c r="A254" s="25"/>
      <c r="U254" s="25"/>
      <c r="V254" s="25"/>
    </row>
    <row r="255" spans="1:22" ht="14.25" customHeight="1" x14ac:dyDescent="0.3">
      <c r="A255" s="25"/>
      <c r="U255" s="25"/>
      <c r="V255" s="25"/>
    </row>
    <row r="256" spans="1:22" ht="14.25" customHeight="1" x14ac:dyDescent="0.3">
      <c r="A256" s="25"/>
      <c r="U256" s="25"/>
      <c r="V256" s="25"/>
    </row>
    <row r="257" spans="1:22" ht="14.25" customHeight="1" x14ac:dyDescent="0.3">
      <c r="A257" s="25"/>
      <c r="U257" s="25"/>
      <c r="V257" s="25"/>
    </row>
    <row r="258" spans="1:22" ht="14.25" customHeight="1" x14ac:dyDescent="0.3">
      <c r="A258" s="25"/>
      <c r="U258" s="25"/>
      <c r="V258" s="25"/>
    </row>
    <row r="259" spans="1:22" ht="14.25" customHeight="1" x14ac:dyDescent="0.3">
      <c r="A259" s="25"/>
      <c r="U259" s="25"/>
      <c r="V259" s="25"/>
    </row>
    <row r="260" spans="1:22" ht="14.25" customHeight="1" x14ac:dyDescent="0.3">
      <c r="A260" s="25"/>
      <c r="U260" s="25"/>
      <c r="V260" s="25"/>
    </row>
    <row r="261" spans="1:22" ht="14.25" customHeight="1" x14ac:dyDescent="0.3">
      <c r="A261" s="25"/>
      <c r="U261" s="25"/>
      <c r="V261" s="25"/>
    </row>
    <row r="262" spans="1:22" ht="14.25" customHeight="1" x14ac:dyDescent="0.3">
      <c r="A262" s="25"/>
      <c r="U262" s="25"/>
      <c r="V262" s="25"/>
    </row>
    <row r="263" spans="1:22" ht="14.25" customHeight="1" x14ac:dyDescent="0.3">
      <c r="A263" s="25"/>
      <c r="U263" s="25"/>
      <c r="V263" s="25"/>
    </row>
    <row r="264" spans="1:22" ht="14.25" customHeight="1" x14ac:dyDescent="0.3">
      <c r="A264" s="25"/>
      <c r="U264" s="25"/>
      <c r="V264" s="25"/>
    </row>
    <row r="265" spans="1:22" ht="14.25" customHeight="1" x14ac:dyDescent="0.3">
      <c r="A265" s="25"/>
      <c r="U265" s="25"/>
      <c r="V265" s="25"/>
    </row>
    <row r="266" spans="1:22" ht="14.25" customHeight="1" x14ac:dyDescent="0.3">
      <c r="A266" s="25"/>
      <c r="U266" s="25"/>
      <c r="V266" s="25"/>
    </row>
    <row r="267" spans="1:22" ht="14.25" customHeight="1" x14ac:dyDescent="0.3">
      <c r="A267" s="25"/>
      <c r="U267" s="25"/>
      <c r="V267" s="25"/>
    </row>
    <row r="268" spans="1:22" ht="14.25" customHeight="1" x14ac:dyDescent="0.3">
      <c r="A268" s="25"/>
      <c r="U268" s="25"/>
      <c r="V268" s="25"/>
    </row>
    <row r="269" spans="1:22" ht="14.25" customHeight="1" x14ac:dyDescent="0.3">
      <c r="A269" s="25"/>
      <c r="U269" s="25"/>
      <c r="V269" s="25"/>
    </row>
    <row r="270" spans="1:22" ht="14.25" customHeight="1" x14ac:dyDescent="0.3">
      <c r="A270" s="25"/>
      <c r="U270" s="25"/>
      <c r="V270" s="25"/>
    </row>
    <row r="271" spans="1:22" ht="14.25" customHeight="1" x14ac:dyDescent="0.3">
      <c r="A271" s="25"/>
      <c r="U271" s="25"/>
      <c r="V271" s="25"/>
    </row>
    <row r="272" spans="1:22" ht="14.25" customHeight="1" x14ac:dyDescent="0.3">
      <c r="A272" s="25"/>
      <c r="U272" s="25"/>
      <c r="V272" s="25"/>
    </row>
    <row r="273" spans="1:22" ht="14.25" customHeight="1" x14ac:dyDescent="0.3">
      <c r="A273" s="25"/>
      <c r="U273" s="25"/>
      <c r="V273" s="25"/>
    </row>
    <row r="274" spans="1:22" ht="14.25" customHeight="1" x14ac:dyDescent="0.3">
      <c r="A274" s="25"/>
      <c r="U274" s="25"/>
      <c r="V274" s="25"/>
    </row>
    <row r="275" spans="1:22" ht="14.25" customHeight="1" x14ac:dyDescent="0.3">
      <c r="A275" s="25"/>
      <c r="U275" s="25"/>
      <c r="V275" s="25"/>
    </row>
    <row r="276" spans="1:22" ht="14.25" customHeight="1" x14ac:dyDescent="0.3">
      <c r="A276" s="25"/>
      <c r="U276" s="25"/>
      <c r="V276" s="25"/>
    </row>
    <row r="277" spans="1:22" ht="14.25" customHeight="1" x14ac:dyDescent="0.3">
      <c r="A277" s="25"/>
      <c r="U277" s="25"/>
      <c r="V277" s="25"/>
    </row>
    <row r="278" spans="1:22" ht="14.25" customHeight="1" x14ac:dyDescent="0.3">
      <c r="A278" s="25"/>
      <c r="U278" s="25"/>
      <c r="V278" s="25"/>
    </row>
    <row r="279" spans="1:22" ht="14.25" customHeight="1" x14ac:dyDescent="0.3">
      <c r="A279" s="25"/>
      <c r="U279" s="25"/>
      <c r="V279" s="25"/>
    </row>
    <row r="280" spans="1:22" ht="14.25" customHeight="1" x14ac:dyDescent="0.3">
      <c r="A280" s="25"/>
      <c r="U280" s="25"/>
      <c r="V280" s="25"/>
    </row>
    <row r="281" spans="1:22" ht="14.25" customHeight="1" x14ac:dyDescent="0.3">
      <c r="A281" s="25"/>
      <c r="U281" s="25"/>
      <c r="V281" s="25"/>
    </row>
    <row r="282" spans="1:22" ht="14.25" customHeight="1" x14ac:dyDescent="0.3">
      <c r="A282" s="25"/>
      <c r="U282" s="25"/>
      <c r="V282" s="25"/>
    </row>
    <row r="283" spans="1:22" ht="14.25" customHeight="1" x14ac:dyDescent="0.3">
      <c r="A283" s="25"/>
      <c r="U283" s="25"/>
      <c r="V283" s="25"/>
    </row>
    <row r="284" spans="1:22" ht="14.25" customHeight="1" x14ac:dyDescent="0.3">
      <c r="A284" s="25"/>
      <c r="U284" s="25"/>
      <c r="V284" s="25"/>
    </row>
    <row r="285" spans="1:22" ht="14.25" customHeight="1" x14ac:dyDescent="0.3">
      <c r="A285" s="25"/>
      <c r="U285" s="25"/>
      <c r="V285" s="25"/>
    </row>
    <row r="286" spans="1:22" ht="14.25" customHeight="1" x14ac:dyDescent="0.3">
      <c r="A286" s="25"/>
      <c r="U286" s="25"/>
      <c r="V286" s="25"/>
    </row>
    <row r="287" spans="1:22" ht="14.25" customHeight="1" x14ac:dyDescent="0.3">
      <c r="A287" s="25"/>
      <c r="U287" s="25"/>
      <c r="V287" s="25"/>
    </row>
    <row r="288" spans="1:22" ht="14.25" customHeight="1" x14ac:dyDescent="0.3">
      <c r="A288" s="25"/>
      <c r="U288" s="25"/>
      <c r="V288" s="25"/>
    </row>
    <row r="289" spans="1:22" ht="14.25" customHeight="1" x14ac:dyDescent="0.3">
      <c r="A289" s="25"/>
      <c r="U289" s="25"/>
      <c r="V289" s="25"/>
    </row>
    <row r="290" spans="1:22" ht="14.25" customHeight="1" x14ac:dyDescent="0.3">
      <c r="A290" s="25"/>
      <c r="U290" s="25"/>
      <c r="V290" s="25"/>
    </row>
    <row r="291" spans="1:22" ht="14.25" customHeight="1" x14ac:dyDescent="0.3">
      <c r="A291" s="25"/>
      <c r="U291" s="25"/>
      <c r="V291" s="25"/>
    </row>
    <row r="292" spans="1:22" ht="14.25" customHeight="1" x14ac:dyDescent="0.3">
      <c r="A292" s="25"/>
      <c r="U292" s="25"/>
      <c r="V292" s="25"/>
    </row>
    <row r="293" spans="1:22" ht="14.25" customHeight="1" x14ac:dyDescent="0.3">
      <c r="A293" s="25"/>
      <c r="U293" s="25"/>
      <c r="V293" s="25"/>
    </row>
    <row r="294" spans="1:22" ht="14.25" customHeight="1" x14ac:dyDescent="0.3">
      <c r="A294" s="25"/>
      <c r="U294" s="25"/>
      <c r="V294" s="25"/>
    </row>
    <row r="295" spans="1:22" ht="14.25" customHeight="1" x14ac:dyDescent="0.3">
      <c r="A295" s="25"/>
      <c r="U295" s="25"/>
      <c r="V295" s="25"/>
    </row>
    <row r="296" spans="1:22" ht="14.25" customHeight="1" x14ac:dyDescent="0.3">
      <c r="A296" s="25"/>
      <c r="U296" s="25"/>
      <c r="V296" s="25"/>
    </row>
    <row r="297" spans="1:22" ht="14.25" customHeight="1" x14ac:dyDescent="0.3">
      <c r="A297" s="25"/>
      <c r="U297" s="25"/>
      <c r="V297" s="25"/>
    </row>
    <row r="298" spans="1:22" ht="14.25" customHeight="1" x14ac:dyDescent="0.3">
      <c r="A298" s="25"/>
      <c r="U298" s="25"/>
      <c r="V298" s="25"/>
    </row>
    <row r="299" spans="1:22" ht="14.25" customHeight="1" x14ac:dyDescent="0.3">
      <c r="A299" s="25"/>
      <c r="U299" s="25"/>
      <c r="V299" s="25"/>
    </row>
    <row r="300" spans="1:22" ht="14.25" customHeight="1" x14ac:dyDescent="0.3">
      <c r="A300" s="25"/>
      <c r="U300" s="25"/>
      <c r="V300" s="25"/>
    </row>
    <row r="301" spans="1:22" ht="14.25" customHeight="1" x14ac:dyDescent="0.3">
      <c r="A301" s="25"/>
      <c r="U301" s="25"/>
      <c r="V301" s="25"/>
    </row>
    <row r="302" spans="1:22" ht="14.25" customHeight="1" x14ac:dyDescent="0.3">
      <c r="A302" s="25"/>
      <c r="U302" s="25"/>
      <c r="V302" s="25"/>
    </row>
    <row r="303" spans="1:22" ht="14.25" customHeight="1" x14ac:dyDescent="0.3">
      <c r="A303" s="25"/>
      <c r="U303" s="25"/>
      <c r="V303" s="25"/>
    </row>
    <row r="304" spans="1:22" ht="14.25" customHeight="1" x14ac:dyDescent="0.3">
      <c r="A304" s="25"/>
      <c r="U304" s="25"/>
      <c r="V304" s="25"/>
    </row>
    <row r="305" spans="1:22" ht="14.25" customHeight="1" x14ac:dyDescent="0.3">
      <c r="A305" s="25"/>
      <c r="U305" s="25"/>
      <c r="V305" s="25"/>
    </row>
    <row r="306" spans="1:22" ht="14.25" customHeight="1" x14ac:dyDescent="0.3">
      <c r="A306" s="25"/>
      <c r="U306" s="25"/>
      <c r="V306" s="25"/>
    </row>
    <row r="307" spans="1:22" ht="14.25" customHeight="1" x14ac:dyDescent="0.3">
      <c r="A307" s="25"/>
      <c r="U307" s="25"/>
      <c r="V307" s="25"/>
    </row>
    <row r="308" spans="1:22" ht="14.25" customHeight="1" x14ac:dyDescent="0.3">
      <c r="A308" s="25"/>
      <c r="U308" s="25"/>
      <c r="V308" s="25"/>
    </row>
    <row r="309" spans="1:22" ht="14.25" customHeight="1" x14ac:dyDescent="0.3">
      <c r="A309" s="25"/>
      <c r="U309" s="25"/>
      <c r="V309" s="25"/>
    </row>
    <row r="310" spans="1:22" ht="14.25" customHeight="1" x14ac:dyDescent="0.3">
      <c r="A310" s="25"/>
      <c r="U310" s="25"/>
      <c r="V310" s="25"/>
    </row>
    <row r="311" spans="1:22" ht="14.25" customHeight="1" x14ac:dyDescent="0.3">
      <c r="A311" s="25"/>
      <c r="U311" s="25"/>
      <c r="V311" s="25"/>
    </row>
    <row r="312" spans="1:22" ht="14.25" customHeight="1" x14ac:dyDescent="0.3">
      <c r="A312" s="25"/>
      <c r="U312" s="25"/>
      <c r="V312" s="25"/>
    </row>
    <row r="313" spans="1:22" ht="14.25" customHeight="1" x14ac:dyDescent="0.3">
      <c r="A313" s="25"/>
      <c r="U313" s="25"/>
      <c r="V313" s="25"/>
    </row>
    <row r="314" spans="1:22" ht="14.25" customHeight="1" x14ac:dyDescent="0.3">
      <c r="A314" s="25"/>
      <c r="U314" s="25"/>
      <c r="V314" s="25"/>
    </row>
    <row r="315" spans="1:22" ht="14.25" customHeight="1" x14ac:dyDescent="0.3">
      <c r="A315" s="25"/>
      <c r="U315" s="25"/>
      <c r="V315" s="25"/>
    </row>
    <row r="316" spans="1:22" ht="14.25" customHeight="1" x14ac:dyDescent="0.3">
      <c r="A316" s="25"/>
      <c r="U316" s="25"/>
      <c r="V316" s="25"/>
    </row>
    <row r="317" spans="1:22" ht="14.25" customHeight="1" x14ac:dyDescent="0.3">
      <c r="A317" s="25"/>
      <c r="U317" s="25"/>
      <c r="V317" s="25"/>
    </row>
    <row r="318" spans="1:22" ht="14.25" customHeight="1" x14ac:dyDescent="0.3">
      <c r="A318" s="25"/>
      <c r="U318" s="25"/>
      <c r="V318" s="25"/>
    </row>
    <row r="319" spans="1:22" ht="14.25" customHeight="1" x14ac:dyDescent="0.3">
      <c r="A319" s="25"/>
      <c r="U319" s="25"/>
      <c r="V319" s="25"/>
    </row>
    <row r="320" spans="1:22" ht="14.25" customHeight="1" x14ac:dyDescent="0.3">
      <c r="A320" s="25"/>
      <c r="U320" s="25"/>
      <c r="V320" s="25"/>
    </row>
    <row r="321" spans="1:22" ht="14.25" customHeight="1" x14ac:dyDescent="0.3">
      <c r="A321" s="25"/>
      <c r="U321" s="25"/>
      <c r="V321" s="25"/>
    </row>
    <row r="322" spans="1:22" ht="14.25" customHeight="1" x14ac:dyDescent="0.3">
      <c r="A322" s="25"/>
      <c r="U322" s="25"/>
      <c r="V322" s="25"/>
    </row>
    <row r="323" spans="1:22" ht="14.25" customHeight="1" x14ac:dyDescent="0.3">
      <c r="A323" s="25"/>
      <c r="U323" s="25"/>
      <c r="V323" s="25"/>
    </row>
    <row r="324" spans="1:22" ht="14.25" customHeight="1" x14ac:dyDescent="0.3">
      <c r="A324" s="25"/>
      <c r="U324" s="25"/>
      <c r="V324" s="25"/>
    </row>
    <row r="325" spans="1:22" ht="14.25" customHeight="1" x14ac:dyDescent="0.3">
      <c r="A325" s="25"/>
      <c r="U325" s="25"/>
      <c r="V325" s="25"/>
    </row>
    <row r="326" spans="1:22" ht="14.25" customHeight="1" x14ac:dyDescent="0.3">
      <c r="A326" s="25"/>
      <c r="U326" s="25"/>
      <c r="V326" s="25"/>
    </row>
    <row r="327" spans="1:22" ht="14.25" customHeight="1" x14ac:dyDescent="0.3">
      <c r="A327" s="25"/>
      <c r="U327" s="25"/>
      <c r="V327" s="25"/>
    </row>
    <row r="328" spans="1:22" ht="14.25" customHeight="1" x14ac:dyDescent="0.3">
      <c r="A328" s="25"/>
      <c r="U328" s="25"/>
      <c r="V328" s="25"/>
    </row>
    <row r="329" spans="1:22" ht="14.25" customHeight="1" x14ac:dyDescent="0.3">
      <c r="A329" s="25"/>
      <c r="U329" s="25"/>
      <c r="V329" s="25"/>
    </row>
    <row r="330" spans="1:22" ht="14.25" customHeight="1" x14ac:dyDescent="0.3">
      <c r="A330" s="25"/>
      <c r="U330" s="25"/>
      <c r="V330" s="25"/>
    </row>
    <row r="331" spans="1:22" ht="14.25" customHeight="1" x14ac:dyDescent="0.3">
      <c r="A331" s="25"/>
      <c r="U331" s="25"/>
      <c r="V331" s="25"/>
    </row>
    <row r="332" spans="1:22" ht="14.25" customHeight="1" x14ac:dyDescent="0.3">
      <c r="A332" s="25"/>
      <c r="U332" s="25"/>
      <c r="V332" s="25"/>
    </row>
    <row r="333" spans="1:22" ht="14.25" customHeight="1" x14ac:dyDescent="0.3">
      <c r="A333" s="25"/>
      <c r="U333" s="25"/>
      <c r="V333" s="25"/>
    </row>
    <row r="334" spans="1:22" ht="14.25" customHeight="1" x14ac:dyDescent="0.3">
      <c r="A334" s="25"/>
      <c r="U334" s="25"/>
      <c r="V334" s="25"/>
    </row>
    <row r="335" spans="1:22" ht="14.25" customHeight="1" x14ac:dyDescent="0.3">
      <c r="A335" s="25"/>
      <c r="U335" s="25"/>
      <c r="V335" s="25"/>
    </row>
    <row r="336" spans="1:22" ht="14.25" customHeight="1" x14ac:dyDescent="0.3">
      <c r="A336" s="25"/>
      <c r="U336" s="25"/>
      <c r="V336" s="25"/>
    </row>
    <row r="337" spans="1:22" ht="14.25" customHeight="1" x14ac:dyDescent="0.3">
      <c r="A337" s="25"/>
      <c r="U337" s="25"/>
      <c r="V337" s="25"/>
    </row>
    <row r="338" spans="1:22" ht="14.25" customHeight="1" x14ac:dyDescent="0.3">
      <c r="A338" s="25"/>
      <c r="U338" s="25"/>
      <c r="V338" s="25"/>
    </row>
    <row r="339" spans="1:22" ht="14.25" customHeight="1" x14ac:dyDescent="0.3">
      <c r="A339" s="25"/>
      <c r="U339" s="25"/>
      <c r="V339" s="25"/>
    </row>
    <row r="340" spans="1:22" ht="14.25" customHeight="1" x14ac:dyDescent="0.3">
      <c r="A340" s="25"/>
      <c r="U340" s="25"/>
      <c r="V340" s="25"/>
    </row>
    <row r="341" spans="1:22" ht="14.25" customHeight="1" x14ac:dyDescent="0.3">
      <c r="A341" s="25"/>
      <c r="U341" s="25"/>
      <c r="V341" s="25"/>
    </row>
    <row r="342" spans="1:22" ht="14.25" customHeight="1" x14ac:dyDescent="0.3">
      <c r="A342" s="25"/>
      <c r="U342" s="25"/>
      <c r="V342" s="25"/>
    </row>
    <row r="343" spans="1:22" ht="14.25" customHeight="1" x14ac:dyDescent="0.3">
      <c r="A343" s="25"/>
      <c r="U343" s="25"/>
      <c r="V343" s="25"/>
    </row>
    <row r="344" spans="1:22" ht="14.25" customHeight="1" x14ac:dyDescent="0.3">
      <c r="A344" s="25"/>
      <c r="U344" s="25"/>
      <c r="V344" s="25"/>
    </row>
    <row r="345" spans="1:22" ht="14.25" customHeight="1" x14ac:dyDescent="0.3">
      <c r="A345" s="25"/>
      <c r="U345" s="25"/>
      <c r="V345" s="25"/>
    </row>
    <row r="346" spans="1:22" ht="14.25" customHeight="1" x14ac:dyDescent="0.3">
      <c r="A346" s="25"/>
      <c r="U346" s="25"/>
      <c r="V346" s="25"/>
    </row>
    <row r="347" spans="1:22" ht="14.25" customHeight="1" x14ac:dyDescent="0.3">
      <c r="A347" s="25"/>
      <c r="U347" s="25"/>
      <c r="V347" s="25"/>
    </row>
    <row r="348" spans="1:22" ht="14.25" customHeight="1" x14ac:dyDescent="0.3">
      <c r="A348" s="25"/>
      <c r="U348" s="25"/>
      <c r="V348" s="25"/>
    </row>
    <row r="349" spans="1:22" ht="14.25" customHeight="1" x14ac:dyDescent="0.3">
      <c r="A349" s="25"/>
      <c r="U349" s="25"/>
      <c r="V349" s="25"/>
    </row>
    <row r="350" spans="1:22" ht="14.25" customHeight="1" x14ac:dyDescent="0.3">
      <c r="A350" s="25"/>
      <c r="U350" s="25"/>
      <c r="V350" s="25"/>
    </row>
    <row r="351" spans="1:22" ht="14.25" customHeight="1" x14ac:dyDescent="0.3">
      <c r="A351" s="25"/>
      <c r="U351" s="25"/>
      <c r="V351" s="25"/>
    </row>
    <row r="352" spans="1:22" ht="14.25" customHeight="1" x14ac:dyDescent="0.3">
      <c r="A352" s="25"/>
      <c r="U352" s="25"/>
      <c r="V352" s="25"/>
    </row>
    <row r="353" spans="1:22" ht="14.25" customHeight="1" x14ac:dyDescent="0.3">
      <c r="A353" s="25"/>
      <c r="U353" s="25"/>
      <c r="V353" s="25"/>
    </row>
    <row r="354" spans="1:22" ht="14.25" customHeight="1" x14ac:dyDescent="0.3">
      <c r="A354" s="25"/>
      <c r="U354" s="25"/>
      <c r="V354" s="25"/>
    </row>
    <row r="355" spans="1:22" ht="14.25" customHeight="1" x14ac:dyDescent="0.3">
      <c r="A355" s="25"/>
      <c r="U355" s="25"/>
      <c r="V355" s="25"/>
    </row>
    <row r="356" spans="1:22" ht="14.25" customHeight="1" x14ac:dyDescent="0.3">
      <c r="A356" s="25"/>
      <c r="U356" s="25"/>
      <c r="V356" s="25"/>
    </row>
    <row r="357" spans="1:22" ht="14.25" customHeight="1" x14ac:dyDescent="0.3">
      <c r="A357" s="25"/>
      <c r="U357" s="25"/>
      <c r="V357" s="25"/>
    </row>
    <row r="358" spans="1:22" ht="14.25" customHeight="1" x14ac:dyDescent="0.3">
      <c r="A358" s="25"/>
      <c r="U358" s="25"/>
      <c r="V358" s="25"/>
    </row>
    <row r="359" spans="1:22" ht="14.25" customHeight="1" x14ac:dyDescent="0.3">
      <c r="A359" s="25"/>
      <c r="U359" s="25"/>
      <c r="V359" s="25"/>
    </row>
    <row r="360" spans="1:22" ht="14.25" customHeight="1" x14ac:dyDescent="0.3">
      <c r="A360" s="25"/>
      <c r="U360" s="25"/>
      <c r="V360" s="25"/>
    </row>
    <row r="361" spans="1:22" ht="14.25" customHeight="1" x14ac:dyDescent="0.3">
      <c r="A361" s="25"/>
      <c r="U361" s="25"/>
      <c r="V361" s="25"/>
    </row>
    <row r="362" spans="1:22" ht="14.25" customHeight="1" x14ac:dyDescent="0.3">
      <c r="A362" s="25"/>
      <c r="U362" s="25"/>
      <c r="V362" s="25"/>
    </row>
    <row r="363" spans="1:22" ht="14.25" customHeight="1" x14ac:dyDescent="0.3">
      <c r="A363" s="25"/>
      <c r="U363" s="25"/>
      <c r="V363" s="25"/>
    </row>
    <row r="364" spans="1:22" ht="14.25" customHeight="1" x14ac:dyDescent="0.3">
      <c r="A364" s="25"/>
      <c r="U364" s="25"/>
      <c r="V364" s="25"/>
    </row>
    <row r="365" spans="1:22" ht="14.25" customHeight="1" x14ac:dyDescent="0.3">
      <c r="A365" s="25"/>
      <c r="U365" s="25"/>
      <c r="V365" s="25"/>
    </row>
    <row r="366" spans="1:22" ht="14.25" customHeight="1" x14ac:dyDescent="0.3">
      <c r="A366" s="25"/>
      <c r="U366" s="25"/>
      <c r="V366" s="25"/>
    </row>
    <row r="367" spans="1:22" ht="14.25" customHeight="1" x14ac:dyDescent="0.3">
      <c r="A367" s="25"/>
      <c r="U367" s="25"/>
      <c r="V367" s="25"/>
    </row>
    <row r="368" spans="1:22" ht="14.25" customHeight="1" x14ac:dyDescent="0.3">
      <c r="A368" s="25"/>
      <c r="U368" s="25"/>
      <c r="V368" s="25"/>
    </row>
    <row r="369" spans="1:22" ht="14.25" customHeight="1" x14ac:dyDescent="0.3">
      <c r="A369" s="25"/>
      <c r="U369" s="25"/>
      <c r="V369" s="25"/>
    </row>
    <row r="370" spans="1:22" ht="14.25" customHeight="1" x14ac:dyDescent="0.3">
      <c r="A370" s="25"/>
      <c r="U370" s="25"/>
      <c r="V370" s="25"/>
    </row>
    <row r="371" spans="1:22" ht="14.25" customHeight="1" x14ac:dyDescent="0.3">
      <c r="A371" s="25"/>
      <c r="U371" s="25"/>
      <c r="V371" s="25"/>
    </row>
    <row r="372" spans="1:22" ht="14.25" customHeight="1" x14ac:dyDescent="0.3">
      <c r="A372" s="25"/>
      <c r="U372" s="25"/>
      <c r="V372" s="25"/>
    </row>
    <row r="373" spans="1:22" ht="14.25" customHeight="1" x14ac:dyDescent="0.3">
      <c r="A373" s="25"/>
      <c r="U373" s="25"/>
      <c r="V373" s="25"/>
    </row>
    <row r="374" spans="1:22" ht="14.25" customHeight="1" x14ac:dyDescent="0.3">
      <c r="A374" s="25"/>
      <c r="U374" s="25"/>
      <c r="V374" s="25"/>
    </row>
    <row r="375" spans="1:22" ht="14.25" customHeight="1" x14ac:dyDescent="0.3">
      <c r="A375" s="25"/>
      <c r="U375" s="25"/>
      <c r="V375" s="25"/>
    </row>
    <row r="376" spans="1:22" ht="14.25" customHeight="1" x14ac:dyDescent="0.3">
      <c r="A376" s="25"/>
      <c r="U376" s="25"/>
      <c r="V376" s="25"/>
    </row>
    <row r="377" spans="1:22" ht="14.25" customHeight="1" x14ac:dyDescent="0.3">
      <c r="A377" s="25"/>
      <c r="U377" s="25"/>
      <c r="V377" s="25"/>
    </row>
    <row r="378" spans="1:22" ht="14.25" customHeight="1" x14ac:dyDescent="0.3">
      <c r="A378" s="25"/>
      <c r="U378" s="25"/>
      <c r="V378" s="25"/>
    </row>
    <row r="379" spans="1:22" ht="14.25" customHeight="1" x14ac:dyDescent="0.3">
      <c r="A379" s="25"/>
      <c r="U379" s="25"/>
      <c r="V379" s="25"/>
    </row>
    <row r="380" spans="1:22" ht="14.25" customHeight="1" x14ac:dyDescent="0.3">
      <c r="A380" s="25"/>
      <c r="U380" s="25"/>
      <c r="V380" s="25"/>
    </row>
    <row r="381" spans="1:22" ht="14.25" customHeight="1" x14ac:dyDescent="0.3">
      <c r="A381" s="25"/>
      <c r="U381" s="25"/>
      <c r="V381" s="25"/>
    </row>
    <row r="382" spans="1:22" ht="14.25" customHeight="1" x14ac:dyDescent="0.3">
      <c r="A382" s="25"/>
      <c r="U382" s="25"/>
      <c r="V382" s="25"/>
    </row>
    <row r="383" spans="1:22" ht="14.25" customHeight="1" x14ac:dyDescent="0.3">
      <c r="A383" s="25"/>
      <c r="U383" s="25"/>
      <c r="V383" s="25"/>
    </row>
    <row r="384" spans="1:22" ht="14.25" customHeight="1" x14ac:dyDescent="0.3">
      <c r="A384" s="25"/>
      <c r="U384" s="25"/>
      <c r="V384" s="25"/>
    </row>
    <row r="385" spans="1:22" ht="14.25" customHeight="1" x14ac:dyDescent="0.3">
      <c r="A385" s="25"/>
      <c r="U385" s="25"/>
      <c r="V385" s="25"/>
    </row>
    <row r="386" spans="1:22" ht="14.25" customHeight="1" x14ac:dyDescent="0.3">
      <c r="A386" s="25"/>
      <c r="U386" s="25"/>
      <c r="V386" s="25"/>
    </row>
    <row r="387" spans="1:22" ht="14.25" customHeight="1" x14ac:dyDescent="0.3">
      <c r="A387" s="25"/>
      <c r="U387" s="25"/>
      <c r="V387" s="25"/>
    </row>
    <row r="388" spans="1:22" ht="14.25" customHeight="1" x14ac:dyDescent="0.3">
      <c r="A388" s="25"/>
      <c r="U388" s="25"/>
      <c r="V388" s="25"/>
    </row>
    <row r="389" spans="1:22" ht="14.25" customHeight="1" x14ac:dyDescent="0.3">
      <c r="A389" s="25"/>
      <c r="U389" s="25"/>
      <c r="V389" s="25"/>
    </row>
    <row r="390" spans="1:22" ht="14.25" customHeight="1" x14ac:dyDescent="0.3">
      <c r="A390" s="25"/>
      <c r="U390" s="25"/>
      <c r="V390" s="25"/>
    </row>
    <row r="391" spans="1:22" ht="14.25" customHeight="1" x14ac:dyDescent="0.3">
      <c r="A391" s="25"/>
      <c r="U391" s="25"/>
      <c r="V391" s="25"/>
    </row>
    <row r="392" spans="1:22" ht="14.25" customHeight="1" x14ac:dyDescent="0.3">
      <c r="A392" s="25"/>
      <c r="U392" s="25"/>
      <c r="V392" s="25"/>
    </row>
    <row r="393" spans="1:22" ht="14.25" customHeight="1" x14ac:dyDescent="0.3">
      <c r="A393" s="25"/>
      <c r="U393" s="25"/>
      <c r="V393" s="25"/>
    </row>
    <row r="394" spans="1:22" ht="14.25" customHeight="1" x14ac:dyDescent="0.3">
      <c r="A394" s="25"/>
      <c r="U394" s="25"/>
      <c r="V394" s="25"/>
    </row>
    <row r="395" spans="1:22" ht="14.25" customHeight="1" x14ac:dyDescent="0.3">
      <c r="A395" s="25"/>
      <c r="U395" s="25"/>
      <c r="V395" s="25"/>
    </row>
    <row r="396" spans="1:22" ht="14.25" customHeight="1" x14ac:dyDescent="0.3">
      <c r="A396" s="25"/>
      <c r="U396" s="25"/>
      <c r="V396" s="25"/>
    </row>
    <row r="397" spans="1:22" ht="14.25" customHeight="1" x14ac:dyDescent="0.3">
      <c r="A397" s="25"/>
      <c r="U397" s="25"/>
      <c r="V397" s="25"/>
    </row>
    <row r="398" spans="1:22" ht="14.25" customHeight="1" x14ac:dyDescent="0.3">
      <c r="A398" s="25"/>
      <c r="U398" s="25"/>
      <c r="V398" s="25"/>
    </row>
    <row r="399" spans="1:22" ht="14.25" customHeight="1" x14ac:dyDescent="0.3">
      <c r="A399" s="25"/>
      <c r="U399" s="25"/>
      <c r="V399" s="25"/>
    </row>
    <row r="400" spans="1:22" ht="14.25" customHeight="1" x14ac:dyDescent="0.3">
      <c r="A400" s="25"/>
      <c r="U400" s="25"/>
      <c r="V400" s="25"/>
    </row>
    <row r="401" spans="1:22" ht="14.25" customHeight="1" x14ac:dyDescent="0.3">
      <c r="A401" s="25"/>
      <c r="U401" s="25"/>
      <c r="V401" s="25"/>
    </row>
    <row r="402" spans="1:22" ht="14.25" customHeight="1" x14ac:dyDescent="0.3">
      <c r="A402" s="25"/>
      <c r="U402" s="25"/>
      <c r="V402" s="25"/>
    </row>
    <row r="403" spans="1:22" ht="14.25" customHeight="1" x14ac:dyDescent="0.3">
      <c r="A403" s="25"/>
      <c r="U403" s="25"/>
      <c r="V403" s="25"/>
    </row>
    <row r="404" spans="1:22" ht="14.25" customHeight="1" x14ac:dyDescent="0.3">
      <c r="A404" s="25"/>
      <c r="U404" s="25"/>
      <c r="V404" s="25"/>
    </row>
    <row r="405" spans="1:22" ht="14.25" customHeight="1" x14ac:dyDescent="0.3">
      <c r="A405" s="25"/>
      <c r="U405" s="25"/>
      <c r="V405" s="25"/>
    </row>
    <row r="406" spans="1:22" ht="14.25" customHeight="1" x14ac:dyDescent="0.3">
      <c r="A406" s="25"/>
      <c r="U406" s="25"/>
      <c r="V406" s="25"/>
    </row>
    <row r="407" spans="1:22" ht="14.25" customHeight="1" x14ac:dyDescent="0.3">
      <c r="A407" s="25"/>
      <c r="U407" s="25"/>
      <c r="V407" s="25"/>
    </row>
    <row r="408" spans="1:22" ht="14.25" customHeight="1" x14ac:dyDescent="0.3">
      <c r="A408" s="25"/>
      <c r="U408" s="25"/>
      <c r="V408" s="25"/>
    </row>
    <row r="409" spans="1:22" ht="14.25" customHeight="1" x14ac:dyDescent="0.3">
      <c r="A409" s="25"/>
      <c r="U409" s="25"/>
      <c r="V409" s="25"/>
    </row>
    <row r="410" spans="1:22" ht="14.25" customHeight="1" x14ac:dyDescent="0.3">
      <c r="A410" s="25"/>
      <c r="U410" s="25"/>
      <c r="V410" s="25"/>
    </row>
    <row r="411" spans="1:22" ht="14.25" customHeight="1" x14ac:dyDescent="0.3">
      <c r="A411" s="25"/>
      <c r="U411" s="25"/>
      <c r="V411" s="25"/>
    </row>
    <row r="412" spans="1:22" ht="14.25" customHeight="1" x14ac:dyDescent="0.3">
      <c r="A412" s="25"/>
      <c r="U412" s="25"/>
      <c r="V412" s="25"/>
    </row>
    <row r="413" spans="1:22" ht="14.25" customHeight="1" x14ac:dyDescent="0.3">
      <c r="A413" s="25"/>
      <c r="U413" s="25"/>
      <c r="V413" s="25"/>
    </row>
    <row r="414" spans="1:22" ht="14.25" customHeight="1" x14ac:dyDescent="0.3">
      <c r="A414" s="25"/>
      <c r="U414" s="25"/>
      <c r="V414" s="25"/>
    </row>
    <row r="415" spans="1:22" ht="14.25" customHeight="1" x14ac:dyDescent="0.3">
      <c r="A415" s="25"/>
      <c r="U415" s="25"/>
      <c r="V415" s="25"/>
    </row>
    <row r="416" spans="1:22" ht="14.25" customHeight="1" x14ac:dyDescent="0.3">
      <c r="A416" s="25"/>
      <c r="U416" s="25"/>
      <c r="V416" s="25"/>
    </row>
    <row r="417" spans="1:22" ht="14.25" customHeight="1" x14ac:dyDescent="0.3">
      <c r="A417" s="25"/>
      <c r="U417" s="25"/>
      <c r="V417" s="25"/>
    </row>
    <row r="418" spans="1:22" ht="14.25" customHeight="1" x14ac:dyDescent="0.3">
      <c r="A418" s="25"/>
      <c r="U418" s="25"/>
      <c r="V418" s="25"/>
    </row>
    <row r="419" spans="1:22" ht="14.25" customHeight="1" x14ac:dyDescent="0.3">
      <c r="A419" s="25"/>
      <c r="U419" s="25"/>
      <c r="V419" s="25"/>
    </row>
    <row r="420" spans="1:22" ht="14.25" customHeight="1" x14ac:dyDescent="0.3">
      <c r="A420" s="25"/>
      <c r="U420" s="25"/>
      <c r="V420" s="25"/>
    </row>
    <row r="421" spans="1:22" ht="14.25" customHeight="1" x14ac:dyDescent="0.3">
      <c r="A421" s="25"/>
      <c r="U421" s="25"/>
      <c r="V421" s="25"/>
    </row>
    <row r="422" spans="1:22" ht="14.25" customHeight="1" x14ac:dyDescent="0.3">
      <c r="A422" s="25"/>
      <c r="U422" s="25"/>
      <c r="V422" s="25"/>
    </row>
    <row r="423" spans="1:22" ht="14.25" customHeight="1" x14ac:dyDescent="0.3">
      <c r="A423" s="25"/>
      <c r="U423" s="25"/>
      <c r="V423" s="25"/>
    </row>
    <row r="424" spans="1:22" ht="14.25" customHeight="1" x14ac:dyDescent="0.3">
      <c r="A424" s="25"/>
      <c r="U424" s="25"/>
      <c r="V424" s="25"/>
    </row>
    <row r="425" spans="1:22" ht="14.25" customHeight="1" x14ac:dyDescent="0.3">
      <c r="A425" s="25"/>
      <c r="U425" s="25"/>
      <c r="V425" s="25"/>
    </row>
    <row r="426" spans="1:22" ht="14.25" customHeight="1" x14ac:dyDescent="0.3">
      <c r="A426" s="25"/>
      <c r="U426" s="25"/>
      <c r="V426" s="25"/>
    </row>
    <row r="427" spans="1:22" ht="14.25" customHeight="1" x14ac:dyDescent="0.3">
      <c r="A427" s="25"/>
      <c r="U427" s="25"/>
      <c r="V427" s="25"/>
    </row>
    <row r="428" spans="1:22" ht="14.25" customHeight="1" x14ac:dyDescent="0.3">
      <c r="A428" s="25"/>
      <c r="U428" s="25"/>
      <c r="V428" s="25"/>
    </row>
    <row r="429" spans="1:22" ht="14.25" customHeight="1" x14ac:dyDescent="0.3">
      <c r="A429" s="25"/>
      <c r="U429" s="25"/>
      <c r="V429" s="25"/>
    </row>
    <row r="430" spans="1:22" ht="14.25" customHeight="1" x14ac:dyDescent="0.3">
      <c r="A430" s="25"/>
      <c r="U430" s="25"/>
      <c r="V430" s="25"/>
    </row>
    <row r="431" spans="1:22" ht="14.25" customHeight="1" x14ac:dyDescent="0.3">
      <c r="A431" s="25"/>
      <c r="U431" s="25"/>
      <c r="V431" s="25"/>
    </row>
    <row r="432" spans="1:22" ht="14.25" customHeight="1" x14ac:dyDescent="0.3">
      <c r="A432" s="25"/>
      <c r="U432" s="25"/>
      <c r="V432" s="25"/>
    </row>
    <row r="433" spans="1:22" ht="14.25" customHeight="1" x14ac:dyDescent="0.3">
      <c r="A433" s="25"/>
      <c r="U433" s="25"/>
      <c r="V433" s="25"/>
    </row>
    <row r="434" spans="1:22" ht="14.25" customHeight="1" x14ac:dyDescent="0.3">
      <c r="A434" s="25"/>
      <c r="U434" s="25"/>
      <c r="V434" s="25"/>
    </row>
    <row r="435" spans="1:22" ht="14.25" customHeight="1" x14ac:dyDescent="0.3">
      <c r="A435" s="25"/>
      <c r="U435" s="25"/>
      <c r="V435" s="25"/>
    </row>
    <row r="436" spans="1:22" ht="14.25" customHeight="1" x14ac:dyDescent="0.3">
      <c r="A436" s="25"/>
      <c r="U436" s="25"/>
      <c r="V436" s="25"/>
    </row>
    <row r="437" spans="1:22" ht="14.25" customHeight="1" x14ac:dyDescent="0.3">
      <c r="A437" s="25"/>
      <c r="U437" s="25"/>
      <c r="V437" s="25"/>
    </row>
    <row r="438" spans="1:22" ht="14.25" customHeight="1" x14ac:dyDescent="0.3">
      <c r="A438" s="25"/>
      <c r="U438" s="25"/>
      <c r="V438" s="25"/>
    </row>
    <row r="439" spans="1:22" ht="14.25" customHeight="1" x14ac:dyDescent="0.3">
      <c r="A439" s="25"/>
      <c r="U439" s="25"/>
      <c r="V439" s="25"/>
    </row>
    <row r="440" spans="1:22" ht="14.25" customHeight="1" x14ac:dyDescent="0.3">
      <c r="A440" s="25"/>
      <c r="U440" s="25"/>
      <c r="V440" s="25"/>
    </row>
    <row r="441" spans="1:22" ht="14.25" customHeight="1" x14ac:dyDescent="0.3">
      <c r="A441" s="25"/>
      <c r="U441" s="25"/>
      <c r="V441" s="25"/>
    </row>
    <row r="442" spans="1:22" ht="14.25" customHeight="1" x14ac:dyDescent="0.3">
      <c r="A442" s="25"/>
      <c r="U442" s="25"/>
      <c r="V442" s="25"/>
    </row>
    <row r="443" spans="1:22" ht="14.25" customHeight="1" x14ac:dyDescent="0.3">
      <c r="A443" s="25"/>
      <c r="U443" s="25"/>
      <c r="V443" s="25"/>
    </row>
    <row r="444" spans="1:22" ht="14.25" customHeight="1" x14ac:dyDescent="0.3">
      <c r="A444" s="25"/>
      <c r="U444" s="25"/>
      <c r="V444" s="25"/>
    </row>
    <row r="445" spans="1:22" ht="14.25" customHeight="1" x14ac:dyDescent="0.3">
      <c r="A445" s="25"/>
      <c r="U445" s="25"/>
      <c r="V445" s="25"/>
    </row>
    <row r="446" spans="1:22" ht="14.25" customHeight="1" x14ac:dyDescent="0.3">
      <c r="A446" s="25"/>
      <c r="U446" s="25"/>
      <c r="V446" s="25"/>
    </row>
    <row r="447" spans="1:22" ht="14.25" customHeight="1" x14ac:dyDescent="0.3">
      <c r="A447" s="25"/>
      <c r="U447" s="25"/>
      <c r="V447" s="25"/>
    </row>
    <row r="448" spans="1:22" ht="14.25" customHeight="1" x14ac:dyDescent="0.3">
      <c r="A448" s="25"/>
      <c r="U448" s="25"/>
      <c r="V448" s="25"/>
    </row>
    <row r="449" spans="1:22" ht="14.25" customHeight="1" x14ac:dyDescent="0.3">
      <c r="A449" s="25"/>
      <c r="U449" s="25"/>
      <c r="V449" s="25"/>
    </row>
    <row r="450" spans="1:22" ht="14.25" customHeight="1" x14ac:dyDescent="0.3">
      <c r="A450" s="25"/>
      <c r="U450" s="25"/>
      <c r="V450" s="25"/>
    </row>
    <row r="451" spans="1:22" ht="14.25" customHeight="1" x14ac:dyDescent="0.3">
      <c r="A451" s="25"/>
      <c r="U451" s="25"/>
      <c r="V451" s="25"/>
    </row>
    <row r="452" spans="1:22" ht="14.25" customHeight="1" x14ac:dyDescent="0.3">
      <c r="A452" s="25"/>
      <c r="U452" s="25"/>
      <c r="V452" s="25"/>
    </row>
    <row r="453" spans="1:22" ht="14.25" customHeight="1" x14ac:dyDescent="0.3">
      <c r="A453" s="25"/>
      <c r="U453" s="25"/>
      <c r="V453" s="25"/>
    </row>
    <row r="454" spans="1:22" ht="14.25" customHeight="1" x14ac:dyDescent="0.3">
      <c r="A454" s="25"/>
      <c r="U454" s="25"/>
      <c r="V454" s="25"/>
    </row>
    <row r="455" spans="1:22" ht="14.25" customHeight="1" x14ac:dyDescent="0.3">
      <c r="A455" s="25"/>
      <c r="U455" s="25"/>
      <c r="V455" s="25"/>
    </row>
    <row r="456" spans="1:22" ht="14.25" customHeight="1" x14ac:dyDescent="0.3">
      <c r="A456" s="25"/>
      <c r="U456" s="25"/>
      <c r="V456" s="25"/>
    </row>
    <row r="457" spans="1:22" ht="14.25" customHeight="1" x14ac:dyDescent="0.3">
      <c r="A457" s="25"/>
      <c r="U457" s="25"/>
      <c r="V457" s="25"/>
    </row>
    <row r="458" spans="1:22" ht="14.25" customHeight="1" x14ac:dyDescent="0.3">
      <c r="A458" s="25"/>
      <c r="U458" s="25"/>
      <c r="V458" s="25"/>
    </row>
    <row r="459" spans="1:22" ht="14.25" customHeight="1" x14ac:dyDescent="0.3">
      <c r="A459" s="25"/>
      <c r="U459" s="25"/>
      <c r="V459" s="25"/>
    </row>
    <row r="460" spans="1:22" ht="14.25" customHeight="1" x14ac:dyDescent="0.3">
      <c r="A460" s="25"/>
      <c r="U460" s="25"/>
      <c r="V460" s="25"/>
    </row>
    <row r="461" spans="1:22" ht="14.25" customHeight="1" x14ac:dyDescent="0.3">
      <c r="A461" s="25"/>
      <c r="U461" s="25"/>
      <c r="V461" s="25"/>
    </row>
    <row r="462" spans="1:22" ht="14.25" customHeight="1" x14ac:dyDescent="0.3">
      <c r="A462" s="25"/>
      <c r="U462" s="25"/>
      <c r="V462" s="25"/>
    </row>
    <row r="463" spans="1:22" ht="14.25" customHeight="1" x14ac:dyDescent="0.3">
      <c r="A463" s="25"/>
      <c r="U463" s="25"/>
      <c r="V463" s="25"/>
    </row>
    <row r="464" spans="1:22" ht="14.25" customHeight="1" x14ac:dyDescent="0.3">
      <c r="A464" s="25"/>
      <c r="U464" s="25"/>
      <c r="V464" s="25"/>
    </row>
    <row r="465" spans="1:22" ht="14.25" customHeight="1" x14ac:dyDescent="0.3">
      <c r="A465" s="25"/>
      <c r="U465" s="25"/>
      <c r="V465" s="25"/>
    </row>
    <row r="466" spans="1:22" ht="14.25" customHeight="1" x14ac:dyDescent="0.3">
      <c r="A466" s="25"/>
      <c r="U466" s="25"/>
      <c r="V466" s="25"/>
    </row>
    <row r="467" spans="1:22" ht="14.25" customHeight="1" x14ac:dyDescent="0.3">
      <c r="A467" s="25"/>
      <c r="U467" s="25"/>
      <c r="V467" s="25"/>
    </row>
    <row r="468" spans="1:22" ht="14.25" customHeight="1" x14ac:dyDescent="0.3">
      <c r="A468" s="25"/>
      <c r="U468" s="25"/>
      <c r="V468" s="25"/>
    </row>
    <row r="469" spans="1:22" ht="14.25" customHeight="1" x14ac:dyDescent="0.3">
      <c r="A469" s="25"/>
      <c r="U469" s="25"/>
      <c r="V469" s="25"/>
    </row>
    <row r="470" spans="1:22" ht="14.25" customHeight="1" x14ac:dyDescent="0.3">
      <c r="A470" s="25"/>
      <c r="U470" s="25"/>
      <c r="V470" s="25"/>
    </row>
    <row r="471" spans="1:22" ht="14.25" customHeight="1" x14ac:dyDescent="0.3">
      <c r="A471" s="25"/>
      <c r="U471" s="25"/>
      <c r="V471" s="25"/>
    </row>
    <row r="472" spans="1:22" ht="14.25" customHeight="1" x14ac:dyDescent="0.3">
      <c r="A472" s="25"/>
      <c r="U472" s="25"/>
      <c r="V472" s="25"/>
    </row>
    <row r="473" spans="1:22" ht="14.25" customHeight="1" x14ac:dyDescent="0.3">
      <c r="A473" s="25"/>
      <c r="U473" s="25"/>
      <c r="V473" s="25"/>
    </row>
    <row r="474" spans="1:22" ht="14.25" customHeight="1" x14ac:dyDescent="0.3">
      <c r="A474" s="25"/>
      <c r="U474" s="25"/>
      <c r="V474" s="25"/>
    </row>
    <row r="475" spans="1:22" ht="14.25" customHeight="1" x14ac:dyDescent="0.3">
      <c r="A475" s="25"/>
      <c r="U475" s="25"/>
      <c r="V475" s="25"/>
    </row>
    <row r="476" spans="1:22" ht="14.25" customHeight="1" x14ac:dyDescent="0.3">
      <c r="A476" s="25"/>
      <c r="U476" s="25"/>
      <c r="V476" s="25"/>
    </row>
    <row r="477" spans="1:22" ht="14.25" customHeight="1" x14ac:dyDescent="0.3">
      <c r="A477" s="25"/>
      <c r="U477" s="25"/>
      <c r="V477" s="25"/>
    </row>
    <row r="478" spans="1:22" ht="14.25" customHeight="1" x14ac:dyDescent="0.3">
      <c r="A478" s="25"/>
      <c r="U478" s="25"/>
      <c r="V478" s="25"/>
    </row>
    <row r="479" spans="1:22" ht="14.25" customHeight="1" x14ac:dyDescent="0.3">
      <c r="A479" s="25"/>
      <c r="U479" s="25"/>
      <c r="V479" s="25"/>
    </row>
    <row r="480" spans="1:22" ht="14.25" customHeight="1" x14ac:dyDescent="0.3">
      <c r="A480" s="25"/>
      <c r="U480" s="25"/>
      <c r="V480" s="25"/>
    </row>
    <row r="481" spans="1:22" ht="14.25" customHeight="1" x14ac:dyDescent="0.3">
      <c r="A481" s="25"/>
      <c r="U481" s="25"/>
      <c r="V481" s="25"/>
    </row>
    <row r="482" spans="1:22" ht="14.25" customHeight="1" x14ac:dyDescent="0.3">
      <c r="A482" s="25"/>
      <c r="U482" s="25"/>
      <c r="V482" s="25"/>
    </row>
    <row r="483" spans="1:22" ht="14.25" customHeight="1" x14ac:dyDescent="0.3">
      <c r="A483" s="25"/>
      <c r="U483" s="25"/>
      <c r="V483" s="25"/>
    </row>
    <row r="484" spans="1:22" ht="14.25" customHeight="1" x14ac:dyDescent="0.3">
      <c r="A484" s="25"/>
      <c r="U484" s="25"/>
      <c r="V484" s="25"/>
    </row>
    <row r="485" spans="1:22" ht="14.25" customHeight="1" x14ac:dyDescent="0.3">
      <c r="A485" s="25"/>
      <c r="U485" s="25"/>
      <c r="V485" s="25"/>
    </row>
    <row r="486" spans="1:22" ht="14.25" customHeight="1" x14ac:dyDescent="0.3">
      <c r="A486" s="25"/>
      <c r="U486" s="25"/>
      <c r="V486" s="25"/>
    </row>
    <row r="487" spans="1:22" ht="14.25" customHeight="1" x14ac:dyDescent="0.3">
      <c r="A487" s="25"/>
      <c r="U487" s="25"/>
      <c r="V487" s="25"/>
    </row>
    <row r="488" spans="1:22" ht="14.25" customHeight="1" x14ac:dyDescent="0.3">
      <c r="A488" s="25"/>
      <c r="U488" s="25"/>
      <c r="V488" s="25"/>
    </row>
    <row r="489" spans="1:22" ht="14.25" customHeight="1" x14ac:dyDescent="0.3">
      <c r="A489" s="25"/>
      <c r="U489" s="25"/>
      <c r="V489" s="25"/>
    </row>
    <row r="490" spans="1:22" ht="14.25" customHeight="1" x14ac:dyDescent="0.3">
      <c r="A490" s="25"/>
      <c r="U490" s="25"/>
      <c r="V490" s="25"/>
    </row>
    <row r="491" spans="1:22" ht="14.25" customHeight="1" x14ac:dyDescent="0.3">
      <c r="A491" s="25"/>
      <c r="U491" s="25"/>
      <c r="V491" s="25"/>
    </row>
    <row r="492" spans="1:22" ht="14.25" customHeight="1" x14ac:dyDescent="0.3">
      <c r="A492" s="25"/>
      <c r="U492" s="25"/>
      <c r="V492" s="25"/>
    </row>
    <row r="493" spans="1:22" ht="14.25" customHeight="1" x14ac:dyDescent="0.3">
      <c r="A493" s="25"/>
      <c r="U493" s="25"/>
      <c r="V493" s="25"/>
    </row>
    <row r="494" spans="1:22" ht="14.25" customHeight="1" x14ac:dyDescent="0.3">
      <c r="A494" s="25"/>
      <c r="U494" s="25"/>
      <c r="V494" s="25"/>
    </row>
    <row r="495" spans="1:22" ht="14.25" customHeight="1" x14ac:dyDescent="0.3">
      <c r="A495" s="25"/>
      <c r="U495" s="25"/>
      <c r="V495" s="25"/>
    </row>
    <row r="496" spans="1:22" ht="14.25" customHeight="1" x14ac:dyDescent="0.3">
      <c r="A496" s="25"/>
      <c r="U496" s="25"/>
      <c r="V496" s="25"/>
    </row>
    <row r="497" spans="1:22" ht="14.25" customHeight="1" x14ac:dyDescent="0.3">
      <c r="A497" s="25"/>
      <c r="U497" s="25"/>
      <c r="V497" s="25"/>
    </row>
    <row r="498" spans="1:22" ht="14.25" customHeight="1" x14ac:dyDescent="0.3">
      <c r="A498" s="25"/>
      <c r="U498" s="25"/>
      <c r="V498" s="25"/>
    </row>
    <row r="499" spans="1:22" ht="14.25" customHeight="1" x14ac:dyDescent="0.3">
      <c r="A499" s="25"/>
      <c r="U499" s="25"/>
      <c r="V499" s="25"/>
    </row>
    <row r="500" spans="1:22" ht="14.25" customHeight="1" x14ac:dyDescent="0.3">
      <c r="A500" s="25"/>
      <c r="U500" s="25"/>
      <c r="V500" s="25"/>
    </row>
    <row r="501" spans="1:22" ht="14.25" customHeight="1" x14ac:dyDescent="0.3">
      <c r="A501" s="25"/>
      <c r="U501" s="25"/>
      <c r="V501" s="25"/>
    </row>
    <row r="502" spans="1:22" ht="14.25" customHeight="1" x14ac:dyDescent="0.3">
      <c r="A502" s="25"/>
      <c r="U502" s="25"/>
      <c r="V502" s="25"/>
    </row>
    <row r="503" spans="1:22" ht="14.25" customHeight="1" x14ac:dyDescent="0.3">
      <c r="A503" s="25"/>
      <c r="U503" s="25"/>
      <c r="V503" s="25"/>
    </row>
    <row r="504" spans="1:22" ht="14.25" customHeight="1" x14ac:dyDescent="0.3">
      <c r="A504" s="25"/>
      <c r="U504" s="25"/>
      <c r="V504" s="25"/>
    </row>
    <row r="505" spans="1:22" ht="14.25" customHeight="1" x14ac:dyDescent="0.3">
      <c r="A505" s="25"/>
      <c r="U505" s="25"/>
      <c r="V505" s="25"/>
    </row>
    <row r="506" spans="1:22" ht="14.25" customHeight="1" x14ac:dyDescent="0.3">
      <c r="A506" s="25"/>
      <c r="U506" s="25"/>
      <c r="V506" s="25"/>
    </row>
    <row r="507" spans="1:22" ht="14.25" customHeight="1" x14ac:dyDescent="0.3">
      <c r="A507" s="25"/>
      <c r="U507" s="25"/>
      <c r="V507" s="25"/>
    </row>
    <row r="508" spans="1:22" ht="14.25" customHeight="1" x14ac:dyDescent="0.3">
      <c r="A508" s="25"/>
      <c r="U508" s="25"/>
      <c r="V508" s="25"/>
    </row>
    <row r="509" spans="1:22" ht="14.25" customHeight="1" x14ac:dyDescent="0.3">
      <c r="A509" s="25"/>
      <c r="U509" s="25"/>
      <c r="V509" s="25"/>
    </row>
    <row r="510" spans="1:22" ht="14.25" customHeight="1" x14ac:dyDescent="0.3">
      <c r="A510" s="25"/>
      <c r="U510" s="25"/>
      <c r="V510" s="25"/>
    </row>
    <row r="511" spans="1:22" ht="14.25" customHeight="1" x14ac:dyDescent="0.3">
      <c r="A511" s="25"/>
      <c r="U511" s="25"/>
      <c r="V511" s="25"/>
    </row>
    <row r="512" spans="1:22" ht="14.25" customHeight="1" x14ac:dyDescent="0.3">
      <c r="A512" s="25"/>
      <c r="U512" s="25"/>
      <c r="V512" s="25"/>
    </row>
    <row r="513" spans="1:22" ht="14.25" customHeight="1" x14ac:dyDescent="0.3">
      <c r="A513" s="25"/>
      <c r="U513" s="25"/>
      <c r="V513" s="25"/>
    </row>
    <row r="514" spans="1:22" ht="14.25" customHeight="1" x14ac:dyDescent="0.3">
      <c r="A514" s="25"/>
      <c r="U514" s="25"/>
      <c r="V514" s="25"/>
    </row>
    <row r="515" spans="1:22" ht="14.25" customHeight="1" x14ac:dyDescent="0.3">
      <c r="A515" s="25"/>
      <c r="U515" s="25"/>
      <c r="V515" s="25"/>
    </row>
    <row r="516" spans="1:22" ht="14.25" customHeight="1" x14ac:dyDescent="0.3">
      <c r="A516" s="25"/>
      <c r="U516" s="25"/>
      <c r="V516" s="25"/>
    </row>
    <row r="517" spans="1:22" ht="14.25" customHeight="1" x14ac:dyDescent="0.3">
      <c r="A517" s="25"/>
      <c r="U517" s="25"/>
      <c r="V517" s="25"/>
    </row>
    <row r="518" spans="1:22" ht="14.25" customHeight="1" x14ac:dyDescent="0.3">
      <c r="A518" s="25"/>
      <c r="U518" s="25"/>
      <c r="V518" s="25"/>
    </row>
    <row r="519" spans="1:22" ht="14.25" customHeight="1" x14ac:dyDescent="0.3">
      <c r="A519" s="25"/>
      <c r="U519" s="25"/>
      <c r="V519" s="25"/>
    </row>
    <row r="520" spans="1:22" ht="14.25" customHeight="1" x14ac:dyDescent="0.3">
      <c r="A520" s="25"/>
      <c r="U520" s="25"/>
      <c r="V520" s="25"/>
    </row>
    <row r="521" spans="1:22" ht="14.25" customHeight="1" x14ac:dyDescent="0.3">
      <c r="A521" s="25"/>
      <c r="U521" s="25"/>
      <c r="V521" s="25"/>
    </row>
    <row r="522" spans="1:22" ht="14.25" customHeight="1" x14ac:dyDescent="0.3">
      <c r="A522" s="25"/>
      <c r="U522" s="25"/>
      <c r="V522" s="25"/>
    </row>
    <row r="523" spans="1:22" ht="14.25" customHeight="1" x14ac:dyDescent="0.3">
      <c r="A523" s="25"/>
      <c r="U523" s="25"/>
      <c r="V523" s="25"/>
    </row>
    <row r="524" spans="1:22" ht="14.25" customHeight="1" x14ac:dyDescent="0.3">
      <c r="A524" s="25"/>
      <c r="U524" s="25"/>
      <c r="V524" s="25"/>
    </row>
    <row r="525" spans="1:22" ht="14.25" customHeight="1" x14ac:dyDescent="0.3">
      <c r="A525" s="25"/>
      <c r="U525" s="25"/>
      <c r="V525" s="25"/>
    </row>
    <row r="526" spans="1:22" ht="14.25" customHeight="1" x14ac:dyDescent="0.3">
      <c r="A526" s="25"/>
      <c r="U526" s="25"/>
      <c r="V526" s="25"/>
    </row>
    <row r="527" spans="1:22" ht="14.25" customHeight="1" x14ac:dyDescent="0.3">
      <c r="A527" s="25"/>
      <c r="U527" s="25"/>
      <c r="V527" s="25"/>
    </row>
    <row r="528" spans="1:22" ht="14.25" customHeight="1" x14ac:dyDescent="0.3">
      <c r="A528" s="25"/>
      <c r="U528" s="25"/>
      <c r="V528" s="25"/>
    </row>
    <row r="529" spans="1:22" ht="14.25" customHeight="1" x14ac:dyDescent="0.3">
      <c r="A529" s="25"/>
      <c r="U529" s="25"/>
      <c r="V529" s="25"/>
    </row>
    <row r="530" spans="1:22" ht="14.25" customHeight="1" x14ac:dyDescent="0.3">
      <c r="A530" s="25"/>
      <c r="U530" s="25"/>
      <c r="V530" s="25"/>
    </row>
    <row r="531" spans="1:22" ht="14.25" customHeight="1" x14ac:dyDescent="0.3">
      <c r="A531" s="25"/>
      <c r="U531" s="25"/>
      <c r="V531" s="25"/>
    </row>
    <row r="532" spans="1:22" ht="14.25" customHeight="1" x14ac:dyDescent="0.3">
      <c r="A532" s="25"/>
      <c r="U532" s="25"/>
      <c r="V532" s="25"/>
    </row>
    <row r="533" spans="1:22" ht="14.25" customHeight="1" x14ac:dyDescent="0.3">
      <c r="A533" s="25"/>
      <c r="U533" s="25"/>
      <c r="V533" s="25"/>
    </row>
    <row r="534" spans="1:22" ht="14.25" customHeight="1" x14ac:dyDescent="0.3">
      <c r="A534" s="25"/>
      <c r="U534" s="25"/>
      <c r="V534" s="25"/>
    </row>
    <row r="535" spans="1:22" ht="14.25" customHeight="1" x14ac:dyDescent="0.3">
      <c r="A535" s="25"/>
      <c r="U535" s="25"/>
      <c r="V535" s="25"/>
    </row>
    <row r="536" spans="1:22" ht="14.25" customHeight="1" x14ac:dyDescent="0.3">
      <c r="A536" s="25"/>
      <c r="U536" s="25"/>
      <c r="V536" s="25"/>
    </row>
    <row r="537" spans="1:22" ht="14.25" customHeight="1" x14ac:dyDescent="0.3">
      <c r="A537" s="25"/>
      <c r="U537" s="25"/>
      <c r="V537" s="25"/>
    </row>
    <row r="538" spans="1:22" ht="14.25" customHeight="1" x14ac:dyDescent="0.3">
      <c r="A538" s="25"/>
      <c r="U538" s="25"/>
      <c r="V538" s="25"/>
    </row>
    <row r="539" spans="1:22" ht="14.25" customHeight="1" x14ac:dyDescent="0.3">
      <c r="A539" s="25"/>
      <c r="U539" s="25"/>
      <c r="V539" s="25"/>
    </row>
    <row r="540" spans="1:22" ht="14.25" customHeight="1" x14ac:dyDescent="0.3">
      <c r="A540" s="25"/>
      <c r="U540" s="25"/>
      <c r="V540" s="25"/>
    </row>
    <row r="541" spans="1:22" ht="14.25" customHeight="1" x14ac:dyDescent="0.3">
      <c r="A541" s="25"/>
      <c r="U541" s="25"/>
      <c r="V541" s="25"/>
    </row>
    <row r="542" spans="1:22" ht="14.25" customHeight="1" x14ac:dyDescent="0.3">
      <c r="A542" s="25"/>
      <c r="U542" s="25"/>
      <c r="V542" s="25"/>
    </row>
    <row r="543" spans="1:22" ht="14.25" customHeight="1" x14ac:dyDescent="0.3">
      <c r="A543" s="25"/>
      <c r="U543" s="25"/>
      <c r="V543" s="25"/>
    </row>
    <row r="544" spans="1:22" ht="14.25" customHeight="1" x14ac:dyDescent="0.3">
      <c r="A544" s="25"/>
      <c r="U544" s="25"/>
      <c r="V544" s="25"/>
    </row>
    <row r="545" spans="1:22" ht="14.25" customHeight="1" x14ac:dyDescent="0.3">
      <c r="A545" s="25"/>
      <c r="U545" s="25"/>
      <c r="V545" s="25"/>
    </row>
    <row r="546" spans="1:22" ht="14.25" customHeight="1" x14ac:dyDescent="0.3">
      <c r="A546" s="25"/>
      <c r="U546" s="25"/>
      <c r="V546" s="25"/>
    </row>
    <row r="547" spans="1:22" ht="14.25" customHeight="1" x14ac:dyDescent="0.3">
      <c r="A547" s="25"/>
      <c r="U547" s="25"/>
      <c r="V547" s="25"/>
    </row>
    <row r="548" spans="1:22" ht="14.25" customHeight="1" x14ac:dyDescent="0.3">
      <c r="A548" s="25"/>
      <c r="U548" s="25"/>
      <c r="V548" s="25"/>
    </row>
    <row r="549" spans="1:22" ht="14.25" customHeight="1" x14ac:dyDescent="0.3">
      <c r="A549" s="25"/>
      <c r="U549" s="25"/>
      <c r="V549" s="25"/>
    </row>
    <row r="550" spans="1:22" ht="14.25" customHeight="1" x14ac:dyDescent="0.3">
      <c r="A550" s="25"/>
      <c r="U550" s="25"/>
      <c r="V550" s="25"/>
    </row>
    <row r="551" spans="1:22" ht="14.25" customHeight="1" x14ac:dyDescent="0.3">
      <c r="A551" s="25"/>
      <c r="U551" s="25"/>
      <c r="V551" s="25"/>
    </row>
    <row r="552" spans="1:22" ht="14.25" customHeight="1" x14ac:dyDescent="0.3">
      <c r="A552" s="25"/>
      <c r="U552" s="25"/>
      <c r="V552" s="25"/>
    </row>
    <row r="553" spans="1:22" ht="14.25" customHeight="1" x14ac:dyDescent="0.3">
      <c r="A553" s="25"/>
      <c r="U553" s="25"/>
      <c r="V553" s="25"/>
    </row>
    <row r="554" spans="1:22" ht="14.25" customHeight="1" x14ac:dyDescent="0.3">
      <c r="A554" s="25"/>
      <c r="U554" s="25"/>
      <c r="V554" s="25"/>
    </row>
    <row r="555" spans="1:22" ht="14.25" customHeight="1" x14ac:dyDescent="0.3">
      <c r="A555" s="25"/>
      <c r="U555" s="25"/>
      <c r="V555" s="25"/>
    </row>
    <row r="556" spans="1:22" ht="14.25" customHeight="1" x14ac:dyDescent="0.3">
      <c r="A556" s="25"/>
      <c r="U556" s="25"/>
      <c r="V556" s="25"/>
    </row>
    <row r="557" spans="1:22" ht="14.25" customHeight="1" x14ac:dyDescent="0.3">
      <c r="A557" s="25"/>
      <c r="U557" s="25"/>
      <c r="V557" s="25"/>
    </row>
    <row r="558" spans="1:22" ht="14.25" customHeight="1" x14ac:dyDescent="0.3">
      <c r="A558" s="25"/>
      <c r="U558" s="25"/>
      <c r="V558" s="25"/>
    </row>
    <row r="559" spans="1:22" ht="14.25" customHeight="1" x14ac:dyDescent="0.3">
      <c r="A559" s="25"/>
      <c r="U559" s="25"/>
      <c r="V559" s="25"/>
    </row>
    <row r="560" spans="1:22" ht="14.25" customHeight="1" x14ac:dyDescent="0.3">
      <c r="A560" s="25"/>
      <c r="U560" s="25"/>
      <c r="V560" s="25"/>
    </row>
    <row r="561" spans="1:22" ht="14.25" customHeight="1" x14ac:dyDescent="0.3">
      <c r="A561" s="25"/>
      <c r="U561" s="25"/>
      <c r="V561" s="25"/>
    </row>
    <row r="562" spans="1:22" ht="14.25" customHeight="1" x14ac:dyDescent="0.3">
      <c r="A562" s="25"/>
      <c r="U562" s="25"/>
      <c r="V562" s="25"/>
    </row>
    <row r="563" spans="1:22" ht="14.25" customHeight="1" x14ac:dyDescent="0.3">
      <c r="A563" s="25"/>
      <c r="U563" s="25"/>
      <c r="V563" s="25"/>
    </row>
    <row r="564" spans="1:22" ht="14.25" customHeight="1" x14ac:dyDescent="0.3">
      <c r="A564" s="25"/>
      <c r="U564" s="25"/>
      <c r="V564" s="25"/>
    </row>
    <row r="565" spans="1:22" ht="14.25" customHeight="1" x14ac:dyDescent="0.3">
      <c r="A565" s="25"/>
      <c r="U565" s="25"/>
      <c r="V565" s="25"/>
    </row>
    <row r="566" spans="1:22" ht="14.25" customHeight="1" x14ac:dyDescent="0.3">
      <c r="A566" s="25"/>
      <c r="U566" s="25"/>
      <c r="V566" s="25"/>
    </row>
    <row r="567" spans="1:22" ht="14.25" customHeight="1" x14ac:dyDescent="0.3">
      <c r="A567" s="25"/>
      <c r="U567" s="25"/>
      <c r="V567" s="25"/>
    </row>
    <row r="568" spans="1:22" ht="14.25" customHeight="1" x14ac:dyDescent="0.3">
      <c r="A568" s="25"/>
      <c r="U568" s="25"/>
      <c r="V568" s="25"/>
    </row>
    <row r="569" spans="1:22" ht="14.25" customHeight="1" x14ac:dyDescent="0.3">
      <c r="A569" s="25"/>
      <c r="U569" s="25"/>
      <c r="V569" s="25"/>
    </row>
    <row r="570" spans="1:22" ht="14.25" customHeight="1" x14ac:dyDescent="0.3">
      <c r="A570" s="25"/>
      <c r="U570" s="25"/>
      <c r="V570" s="25"/>
    </row>
    <row r="571" spans="1:22" ht="14.25" customHeight="1" x14ac:dyDescent="0.3">
      <c r="A571" s="25"/>
      <c r="U571" s="25"/>
      <c r="V571" s="25"/>
    </row>
    <row r="572" spans="1:22" ht="14.25" customHeight="1" x14ac:dyDescent="0.3">
      <c r="A572" s="25"/>
      <c r="U572" s="25"/>
      <c r="V572" s="25"/>
    </row>
    <row r="573" spans="1:22" ht="14.25" customHeight="1" x14ac:dyDescent="0.3">
      <c r="A573" s="25"/>
      <c r="U573" s="25"/>
      <c r="V573" s="25"/>
    </row>
    <row r="574" spans="1:22" ht="14.25" customHeight="1" x14ac:dyDescent="0.3">
      <c r="A574" s="25"/>
      <c r="U574" s="25"/>
      <c r="V574" s="25"/>
    </row>
    <row r="575" spans="1:22" ht="14.25" customHeight="1" x14ac:dyDescent="0.3">
      <c r="A575" s="25"/>
      <c r="U575" s="25"/>
      <c r="V575" s="25"/>
    </row>
    <row r="576" spans="1:22" ht="14.25" customHeight="1" x14ac:dyDescent="0.3">
      <c r="A576" s="25"/>
      <c r="U576" s="25"/>
      <c r="V576" s="25"/>
    </row>
    <row r="577" spans="1:22" ht="14.25" customHeight="1" x14ac:dyDescent="0.3">
      <c r="A577" s="25"/>
      <c r="U577" s="25"/>
      <c r="V577" s="25"/>
    </row>
    <row r="578" spans="1:22" ht="14.25" customHeight="1" x14ac:dyDescent="0.3">
      <c r="A578" s="25"/>
      <c r="U578" s="25"/>
      <c r="V578" s="25"/>
    </row>
    <row r="579" spans="1:22" ht="14.25" customHeight="1" x14ac:dyDescent="0.3">
      <c r="A579" s="25"/>
      <c r="U579" s="25"/>
      <c r="V579" s="25"/>
    </row>
    <row r="580" spans="1:22" ht="14.25" customHeight="1" x14ac:dyDescent="0.3">
      <c r="A580" s="25"/>
      <c r="U580" s="25"/>
      <c r="V580" s="25"/>
    </row>
    <row r="581" spans="1:22" ht="14.25" customHeight="1" x14ac:dyDescent="0.3">
      <c r="A581" s="25"/>
      <c r="U581" s="25"/>
      <c r="V581" s="25"/>
    </row>
    <row r="582" spans="1:22" ht="14.25" customHeight="1" x14ac:dyDescent="0.3">
      <c r="A582" s="25"/>
      <c r="U582" s="25"/>
      <c r="V582" s="25"/>
    </row>
    <row r="583" spans="1:22" ht="14.25" customHeight="1" x14ac:dyDescent="0.3">
      <c r="A583" s="25"/>
      <c r="U583" s="25"/>
      <c r="V583" s="25"/>
    </row>
    <row r="584" spans="1:22" ht="14.25" customHeight="1" x14ac:dyDescent="0.3">
      <c r="A584" s="25"/>
      <c r="U584" s="25"/>
      <c r="V584" s="25"/>
    </row>
    <row r="585" spans="1:22" ht="14.25" customHeight="1" x14ac:dyDescent="0.3">
      <c r="A585" s="25"/>
      <c r="U585" s="25"/>
      <c r="V585" s="25"/>
    </row>
    <row r="586" spans="1:22" ht="14.25" customHeight="1" x14ac:dyDescent="0.3">
      <c r="A586" s="25"/>
      <c r="U586" s="25"/>
      <c r="V586" s="25"/>
    </row>
    <row r="587" spans="1:22" ht="14.25" customHeight="1" x14ac:dyDescent="0.3">
      <c r="A587" s="25"/>
      <c r="U587" s="25"/>
      <c r="V587" s="25"/>
    </row>
    <row r="588" spans="1:22" ht="14.25" customHeight="1" x14ac:dyDescent="0.3">
      <c r="A588" s="25"/>
      <c r="U588" s="25"/>
      <c r="V588" s="25"/>
    </row>
    <row r="589" spans="1:22" ht="14.25" customHeight="1" x14ac:dyDescent="0.3">
      <c r="A589" s="25"/>
      <c r="U589" s="25"/>
      <c r="V589" s="25"/>
    </row>
    <row r="590" spans="1:22" ht="14.25" customHeight="1" x14ac:dyDescent="0.3">
      <c r="A590" s="25"/>
      <c r="U590" s="25"/>
      <c r="V590" s="25"/>
    </row>
    <row r="591" spans="1:22" ht="14.25" customHeight="1" x14ac:dyDescent="0.3">
      <c r="A591" s="25"/>
      <c r="U591" s="25"/>
      <c r="V591" s="25"/>
    </row>
    <row r="592" spans="1:22" ht="14.25" customHeight="1" x14ac:dyDescent="0.3">
      <c r="A592" s="25"/>
      <c r="U592" s="25"/>
      <c r="V592" s="25"/>
    </row>
    <row r="593" spans="1:22" ht="14.25" customHeight="1" x14ac:dyDescent="0.3">
      <c r="A593" s="25"/>
      <c r="U593" s="25"/>
      <c r="V593" s="25"/>
    </row>
    <row r="594" spans="1:22" ht="14.25" customHeight="1" x14ac:dyDescent="0.3">
      <c r="A594" s="25"/>
      <c r="U594" s="25"/>
      <c r="V594" s="25"/>
    </row>
    <row r="595" spans="1:22" ht="14.25" customHeight="1" x14ac:dyDescent="0.3">
      <c r="A595" s="25"/>
      <c r="U595" s="25"/>
      <c r="V595" s="25"/>
    </row>
    <row r="596" spans="1:22" ht="14.25" customHeight="1" x14ac:dyDescent="0.3">
      <c r="A596" s="25"/>
      <c r="U596" s="25"/>
      <c r="V596" s="25"/>
    </row>
    <row r="597" spans="1:22" ht="14.25" customHeight="1" x14ac:dyDescent="0.3">
      <c r="A597" s="25"/>
      <c r="U597" s="25"/>
      <c r="V597" s="25"/>
    </row>
    <row r="598" spans="1:22" ht="14.25" customHeight="1" x14ac:dyDescent="0.3">
      <c r="A598" s="25"/>
      <c r="U598" s="25"/>
      <c r="V598" s="25"/>
    </row>
    <row r="599" spans="1:22" ht="14.25" customHeight="1" x14ac:dyDescent="0.3">
      <c r="A599" s="25"/>
      <c r="U599" s="25"/>
      <c r="V599" s="25"/>
    </row>
    <row r="600" spans="1:22" ht="14.25" customHeight="1" x14ac:dyDescent="0.3">
      <c r="A600" s="25"/>
      <c r="U600" s="25"/>
      <c r="V600" s="25"/>
    </row>
    <row r="601" spans="1:22" ht="14.25" customHeight="1" x14ac:dyDescent="0.3">
      <c r="A601" s="25"/>
      <c r="U601" s="25"/>
      <c r="V601" s="25"/>
    </row>
    <row r="602" spans="1:22" ht="14.25" customHeight="1" x14ac:dyDescent="0.3">
      <c r="A602" s="25"/>
      <c r="U602" s="25"/>
      <c r="V602" s="25"/>
    </row>
    <row r="603" spans="1:22" ht="14.25" customHeight="1" x14ac:dyDescent="0.3">
      <c r="A603" s="25"/>
      <c r="U603" s="25"/>
      <c r="V603" s="25"/>
    </row>
    <row r="604" spans="1:22" ht="14.25" customHeight="1" x14ac:dyDescent="0.3">
      <c r="A604" s="25"/>
      <c r="U604" s="25"/>
      <c r="V604" s="25"/>
    </row>
    <row r="605" spans="1:22" ht="14.25" customHeight="1" x14ac:dyDescent="0.3">
      <c r="A605" s="25"/>
      <c r="U605" s="25"/>
      <c r="V605" s="25"/>
    </row>
    <row r="606" spans="1:22" ht="14.25" customHeight="1" x14ac:dyDescent="0.3">
      <c r="A606" s="25"/>
      <c r="U606" s="25"/>
      <c r="V606" s="25"/>
    </row>
    <row r="607" spans="1:22" ht="14.25" customHeight="1" x14ac:dyDescent="0.3">
      <c r="A607" s="25"/>
      <c r="U607" s="25"/>
      <c r="V607" s="25"/>
    </row>
    <row r="608" spans="1:22" ht="14.25" customHeight="1" x14ac:dyDescent="0.3">
      <c r="A608" s="25"/>
      <c r="U608" s="25"/>
      <c r="V608" s="25"/>
    </row>
    <row r="609" spans="1:22" ht="14.25" customHeight="1" x14ac:dyDescent="0.3">
      <c r="A609" s="25"/>
      <c r="U609" s="25"/>
      <c r="V609" s="25"/>
    </row>
    <row r="610" spans="1:22" ht="14.25" customHeight="1" x14ac:dyDescent="0.3">
      <c r="A610" s="25"/>
      <c r="U610" s="25"/>
      <c r="V610" s="25"/>
    </row>
    <row r="611" spans="1:22" ht="14.25" customHeight="1" x14ac:dyDescent="0.3">
      <c r="A611" s="25"/>
      <c r="U611" s="25"/>
      <c r="V611" s="25"/>
    </row>
    <row r="612" spans="1:22" ht="14.25" customHeight="1" x14ac:dyDescent="0.3">
      <c r="A612" s="25"/>
      <c r="U612" s="25"/>
      <c r="V612" s="25"/>
    </row>
    <row r="613" spans="1:22" ht="14.25" customHeight="1" x14ac:dyDescent="0.3">
      <c r="A613" s="25"/>
      <c r="U613" s="25"/>
      <c r="V613" s="25"/>
    </row>
    <row r="614" spans="1:22" ht="14.25" customHeight="1" x14ac:dyDescent="0.3">
      <c r="A614" s="25"/>
      <c r="U614" s="25"/>
      <c r="V614" s="25"/>
    </row>
    <row r="615" spans="1:22" ht="14.25" customHeight="1" x14ac:dyDescent="0.3">
      <c r="A615" s="25"/>
      <c r="U615" s="25"/>
      <c r="V615" s="25"/>
    </row>
    <row r="616" spans="1:22" ht="14.25" customHeight="1" x14ac:dyDescent="0.3">
      <c r="A616" s="25"/>
      <c r="U616" s="25"/>
      <c r="V616" s="25"/>
    </row>
    <row r="617" spans="1:22" ht="14.25" customHeight="1" x14ac:dyDescent="0.3">
      <c r="A617" s="25"/>
      <c r="U617" s="25"/>
      <c r="V617" s="25"/>
    </row>
    <row r="618" spans="1:22" ht="14.25" customHeight="1" x14ac:dyDescent="0.3">
      <c r="A618" s="25"/>
      <c r="U618" s="25"/>
      <c r="V618" s="25"/>
    </row>
    <row r="619" spans="1:22" ht="14.25" customHeight="1" x14ac:dyDescent="0.3">
      <c r="A619" s="25"/>
      <c r="U619" s="25"/>
      <c r="V619" s="25"/>
    </row>
    <row r="620" spans="1:22" ht="14.25" customHeight="1" x14ac:dyDescent="0.3">
      <c r="A620" s="25"/>
      <c r="U620" s="25"/>
      <c r="V620" s="25"/>
    </row>
    <row r="621" spans="1:22" ht="14.25" customHeight="1" x14ac:dyDescent="0.3">
      <c r="A621" s="25"/>
      <c r="U621" s="25"/>
      <c r="V621" s="25"/>
    </row>
    <row r="622" spans="1:22" ht="14.25" customHeight="1" x14ac:dyDescent="0.3">
      <c r="A622" s="25"/>
      <c r="U622" s="25"/>
      <c r="V622" s="25"/>
    </row>
    <row r="623" spans="1:22" ht="14.25" customHeight="1" x14ac:dyDescent="0.3">
      <c r="A623" s="25"/>
      <c r="U623" s="25"/>
      <c r="V623" s="25"/>
    </row>
    <row r="624" spans="1:22" ht="14.25" customHeight="1" x14ac:dyDescent="0.3">
      <c r="A624" s="25"/>
      <c r="U624" s="25"/>
      <c r="V624" s="25"/>
    </row>
    <row r="625" spans="1:22" ht="14.25" customHeight="1" x14ac:dyDescent="0.3">
      <c r="A625" s="25"/>
      <c r="U625" s="25"/>
      <c r="V625" s="25"/>
    </row>
    <row r="626" spans="1:22" ht="14.25" customHeight="1" x14ac:dyDescent="0.3">
      <c r="A626" s="25"/>
      <c r="U626" s="25"/>
      <c r="V626" s="25"/>
    </row>
    <row r="627" spans="1:22" ht="14.25" customHeight="1" x14ac:dyDescent="0.3">
      <c r="A627" s="25"/>
      <c r="U627" s="25"/>
      <c r="V627" s="25"/>
    </row>
    <row r="628" spans="1:22" ht="14.25" customHeight="1" x14ac:dyDescent="0.3">
      <c r="A628" s="25"/>
      <c r="U628" s="25"/>
      <c r="V628" s="25"/>
    </row>
    <row r="629" spans="1:22" ht="14.25" customHeight="1" x14ac:dyDescent="0.3">
      <c r="A629" s="25"/>
      <c r="U629" s="25"/>
      <c r="V629" s="25"/>
    </row>
    <row r="630" spans="1:22" ht="14.25" customHeight="1" x14ac:dyDescent="0.3">
      <c r="A630" s="25"/>
      <c r="U630" s="25"/>
      <c r="V630" s="25"/>
    </row>
    <row r="631" spans="1:22" ht="14.25" customHeight="1" x14ac:dyDescent="0.3">
      <c r="A631" s="25"/>
      <c r="U631" s="25"/>
      <c r="V631" s="25"/>
    </row>
    <row r="632" spans="1:22" ht="14.25" customHeight="1" x14ac:dyDescent="0.3">
      <c r="A632" s="25"/>
      <c r="U632" s="25"/>
      <c r="V632" s="25"/>
    </row>
    <row r="633" spans="1:22" ht="14.25" customHeight="1" x14ac:dyDescent="0.3">
      <c r="A633" s="25"/>
      <c r="U633" s="25"/>
      <c r="V633" s="25"/>
    </row>
    <row r="634" spans="1:22" ht="14.25" customHeight="1" x14ac:dyDescent="0.3">
      <c r="A634" s="25"/>
      <c r="U634" s="25"/>
      <c r="V634" s="25"/>
    </row>
    <row r="635" spans="1:22" ht="14.25" customHeight="1" x14ac:dyDescent="0.3">
      <c r="A635" s="25"/>
      <c r="U635" s="25"/>
      <c r="V635" s="25"/>
    </row>
    <row r="636" spans="1:22" ht="14.25" customHeight="1" x14ac:dyDescent="0.3">
      <c r="A636" s="25"/>
      <c r="U636" s="25"/>
      <c r="V636" s="25"/>
    </row>
    <row r="637" spans="1:22" ht="14.25" customHeight="1" x14ac:dyDescent="0.3">
      <c r="A637" s="25"/>
      <c r="U637" s="25"/>
      <c r="V637" s="25"/>
    </row>
    <row r="638" spans="1:22" ht="14.25" customHeight="1" x14ac:dyDescent="0.3">
      <c r="A638" s="25"/>
      <c r="U638" s="25"/>
      <c r="V638" s="25"/>
    </row>
    <row r="639" spans="1:22" ht="14.25" customHeight="1" x14ac:dyDescent="0.3">
      <c r="A639" s="25"/>
      <c r="U639" s="25"/>
      <c r="V639" s="25"/>
    </row>
    <row r="640" spans="1:22" ht="14.25" customHeight="1" x14ac:dyDescent="0.3">
      <c r="A640" s="25"/>
      <c r="U640" s="25"/>
      <c r="V640" s="25"/>
    </row>
    <row r="641" spans="1:22" ht="14.25" customHeight="1" x14ac:dyDescent="0.3">
      <c r="A641" s="25"/>
      <c r="U641" s="25"/>
      <c r="V641" s="25"/>
    </row>
    <row r="642" spans="1:22" ht="14.25" customHeight="1" x14ac:dyDescent="0.3">
      <c r="A642" s="25"/>
      <c r="U642" s="25"/>
      <c r="V642" s="25"/>
    </row>
    <row r="643" spans="1:22" ht="14.25" customHeight="1" x14ac:dyDescent="0.3">
      <c r="A643" s="25"/>
      <c r="U643" s="25"/>
      <c r="V643" s="25"/>
    </row>
    <row r="644" spans="1:22" ht="14.25" customHeight="1" x14ac:dyDescent="0.3">
      <c r="A644" s="25"/>
      <c r="U644" s="25"/>
      <c r="V644" s="25"/>
    </row>
    <row r="645" spans="1:22" ht="14.25" customHeight="1" x14ac:dyDescent="0.3">
      <c r="A645" s="25"/>
      <c r="U645" s="25"/>
      <c r="V645" s="25"/>
    </row>
    <row r="646" spans="1:22" ht="14.25" customHeight="1" x14ac:dyDescent="0.3">
      <c r="A646" s="25"/>
      <c r="U646" s="25"/>
      <c r="V646" s="25"/>
    </row>
    <row r="647" spans="1:22" ht="14.25" customHeight="1" x14ac:dyDescent="0.3">
      <c r="A647" s="25"/>
      <c r="U647" s="25"/>
      <c r="V647" s="25"/>
    </row>
    <row r="648" spans="1:22" ht="14.25" customHeight="1" x14ac:dyDescent="0.3">
      <c r="A648" s="25"/>
      <c r="U648" s="25"/>
      <c r="V648" s="25"/>
    </row>
    <row r="649" spans="1:22" ht="14.25" customHeight="1" x14ac:dyDescent="0.3">
      <c r="A649" s="25"/>
      <c r="U649" s="25"/>
      <c r="V649" s="25"/>
    </row>
    <row r="650" spans="1:22" ht="14.25" customHeight="1" x14ac:dyDescent="0.3">
      <c r="A650" s="25"/>
      <c r="U650" s="25"/>
      <c r="V650" s="25"/>
    </row>
    <row r="651" spans="1:22" ht="14.25" customHeight="1" x14ac:dyDescent="0.3">
      <c r="A651" s="25"/>
      <c r="U651" s="25"/>
      <c r="V651" s="25"/>
    </row>
    <row r="652" spans="1:22" ht="14.25" customHeight="1" x14ac:dyDescent="0.3">
      <c r="A652" s="25"/>
      <c r="U652" s="25"/>
      <c r="V652" s="25"/>
    </row>
    <row r="653" spans="1:22" ht="14.25" customHeight="1" x14ac:dyDescent="0.3">
      <c r="A653" s="25"/>
      <c r="U653" s="25"/>
      <c r="V653" s="25"/>
    </row>
    <row r="654" spans="1:22" ht="14.25" customHeight="1" x14ac:dyDescent="0.3">
      <c r="A654" s="25"/>
      <c r="U654" s="25"/>
      <c r="V654" s="25"/>
    </row>
    <row r="655" spans="1:22" ht="14.25" customHeight="1" x14ac:dyDescent="0.3">
      <c r="A655" s="25"/>
      <c r="U655" s="25"/>
      <c r="V655" s="25"/>
    </row>
    <row r="656" spans="1:22" ht="14.25" customHeight="1" x14ac:dyDescent="0.3">
      <c r="A656" s="25"/>
      <c r="U656" s="25"/>
      <c r="V656" s="25"/>
    </row>
    <row r="657" spans="1:22" ht="14.25" customHeight="1" x14ac:dyDescent="0.3">
      <c r="A657" s="25"/>
      <c r="U657" s="25"/>
      <c r="V657" s="25"/>
    </row>
    <row r="658" spans="1:22" ht="14.25" customHeight="1" x14ac:dyDescent="0.3">
      <c r="A658" s="25"/>
      <c r="U658" s="25"/>
      <c r="V658" s="25"/>
    </row>
    <row r="659" spans="1:22" ht="14.25" customHeight="1" x14ac:dyDescent="0.3">
      <c r="A659" s="25"/>
      <c r="U659" s="25"/>
      <c r="V659" s="25"/>
    </row>
    <row r="660" spans="1:22" ht="14.25" customHeight="1" x14ac:dyDescent="0.3">
      <c r="A660" s="25"/>
      <c r="U660" s="25"/>
      <c r="V660" s="25"/>
    </row>
    <row r="661" spans="1:22" ht="14.25" customHeight="1" x14ac:dyDescent="0.3">
      <c r="A661" s="25"/>
      <c r="U661" s="25"/>
      <c r="V661" s="25"/>
    </row>
    <row r="662" spans="1:22" ht="14.25" customHeight="1" x14ac:dyDescent="0.3">
      <c r="A662" s="25"/>
      <c r="U662" s="25"/>
      <c r="V662" s="25"/>
    </row>
    <row r="663" spans="1:22" ht="14.25" customHeight="1" x14ac:dyDescent="0.3">
      <c r="A663" s="25"/>
      <c r="U663" s="25"/>
      <c r="V663" s="25"/>
    </row>
    <row r="664" spans="1:22" ht="14.25" customHeight="1" x14ac:dyDescent="0.3">
      <c r="A664" s="25"/>
      <c r="U664" s="25"/>
      <c r="V664" s="25"/>
    </row>
    <row r="665" spans="1:22" ht="14.25" customHeight="1" x14ac:dyDescent="0.3">
      <c r="A665" s="25"/>
      <c r="U665" s="25"/>
      <c r="V665" s="25"/>
    </row>
    <row r="666" spans="1:22" ht="14.25" customHeight="1" x14ac:dyDescent="0.3">
      <c r="A666" s="25"/>
      <c r="U666" s="25"/>
      <c r="V666" s="25"/>
    </row>
    <row r="667" spans="1:22" ht="14.25" customHeight="1" x14ac:dyDescent="0.3">
      <c r="A667" s="25"/>
      <c r="U667" s="25"/>
      <c r="V667" s="25"/>
    </row>
    <row r="668" spans="1:22" ht="14.25" customHeight="1" x14ac:dyDescent="0.3">
      <c r="A668" s="25"/>
      <c r="U668" s="25"/>
      <c r="V668" s="25"/>
    </row>
    <row r="669" spans="1:22" ht="14.25" customHeight="1" x14ac:dyDescent="0.3">
      <c r="A669" s="25"/>
      <c r="U669" s="25"/>
      <c r="V669" s="25"/>
    </row>
    <row r="670" spans="1:22" ht="14.25" customHeight="1" x14ac:dyDescent="0.3">
      <c r="A670" s="25"/>
      <c r="U670" s="25"/>
      <c r="V670" s="25"/>
    </row>
    <row r="671" spans="1:22" ht="14.25" customHeight="1" x14ac:dyDescent="0.3">
      <c r="A671" s="25"/>
      <c r="U671" s="25"/>
      <c r="V671" s="25"/>
    </row>
    <row r="672" spans="1:22" ht="14.25" customHeight="1" x14ac:dyDescent="0.3">
      <c r="A672" s="25"/>
      <c r="U672" s="25"/>
      <c r="V672" s="25"/>
    </row>
    <row r="673" spans="1:22" ht="14.25" customHeight="1" x14ac:dyDescent="0.3">
      <c r="A673" s="25"/>
      <c r="U673" s="25"/>
      <c r="V673" s="25"/>
    </row>
    <row r="674" spans="1:22" ht="14.25" customHeight="1" x14ac:dyDescent="0.3">
      <c r="A674" s="25"/>
      <c r="U674" s="25"/>
      <c r="V674" s="25"/>
    </row>
    <row r="675" spans="1:22" ht="14.25" customHeight="1" x14ac:dyDescent="0.3">
      <c r="A675" s="25"/>
      <c r="U675" s="25"/>
      <c r="V675" s="25"/>
    </row>
    <row r="676" spans="1:22" ht="14.25" customHeight="1" x14ac:dyDescent="0.3">
      <c r="A676" s="25"/>
      <c r="U676" s="25"/>
      <c r="V676" s="25"/>
    </row>
    <row r="677" spans="1:22" ht="14.25" customHeight="1" x14ac:dyDescent="0.3">
      <c r="A677" s="25"/>
      <c r="U677" s="25"/>
      <c r="V677" s="25"/>
    </row>
    <row r="678" spans="1:22" ht="14.25" customHeight="1" x14ac:dyDescent="0.3">
      <c r="A678" s="25"/>
      <c r="U678" s="25"/>
      <c r="V678" s="25"/>
    </row>
    <row r="679" spans="1:22" ht="14.25" customHeight="1" x14ac:dyDescent="0.3">
      <c r="A679" s="25"/>
      <c r="U679" s="25"/>
      <c r="V679" s="25"/>
    </row>
    <row r="680" spans="1:22" ht="14.25" customHeight="1" x14ac:dyDescent="0.3">
      <c r="A680" s="25"/>
      <c r="U680" s="25"/>
      <c r="V680" s="25"/>
    </row>
    <row r="681" spans="1:22" ht="14.25" customHeight="1" x14ac:dyDescent="0.3">
      <c r="A681" s="25"/>
      <c r="U681" s="25"/>
      <c r="V681" s="25"/>
    </row>
    <row r="682" spans="1:22" ht="14.25" customHeight="1" x14ac:dyDescent="0.3">
      <c r="A682" s="25"/>
      <c r="U682" s="25"/>
      <c r="V682" s="25"/>
    </row>
    <row r="683" spans="1:22" ht="14.25" customHeight="1" x14ac:dyDescent="0.3">
      <c r="A683" s="25"/>
      <c r="U683" s="25"/>
      <c r="V683" s="25"/>
    </row>
    <row r="684" spans="1:22" ht="14.25" customHeight="1" x14ac:dyDescent="0.3">
      <c r="A684" s="25"/>
      <c r="U684" s="25"/>
      <c r="V684" s="25"/>
    </row>
    <row r="685" spans="1:22" ht="14.25" customHeight="1" x14ac:dyDescent="0.3">
      <c r="A685" s="25"/>
      <c r="U685" s="25"/>
      <c r="V685" s="25"/>
    </row>
    <row r="686" spans="1:22" ht="14.25" customHeight="1" x14ac:dyDescent="0.3">
      <c r="A686" s="25"/>
      <c r="U686" s="25"/>
      <c r="V686" s="25"/>
    </row>
    <row r="687" spans="1:22" ht="14.25" customHeight="1" x14ac:dyDescent="0.3">
      <c r="A687" s="25"/>
      <c r="U687" s="25"/>
      <c r="V687" s="25"/>
    </row>
    <row r="688" spans="1:22" ht="14.25" customHeight="1" x14ac:dyDescent="0.3">
      <c r="A688" s="25"/>
      <c r="U688" s="25"/>
      <c r="V688" s="25"/>
    </row>
    <row r="689" spans="1:22" ht="14.25" customHeight="1" x14ac:dyDescent="0.3">
      <c r="A689" s="25"/>
      <c r="U689" s="25"/>
      <c r="V689" s="25"/>
    </row>
    <row r="690" spans="1:22" ht="14.25" customHeight="1" x14ac:dyDescent="0.3">
      <c r="A690" s="25"/>
      <c r="U690" s="25"/>
      <c r="V690" s="25"/>
    </row>
    <row r="691" spans="1:22" ht="14.25" customHeight="1" x14ac:dyDescent="0.3">
      <c r="A691" s="25"/>
      <c r="U691" s="25"/>
      <c r="V691" s="25"/>
    </row>
    <row r="692" spans="1:22" ht="14.25" customHeight="1" x14ac:dyDescent="0.3">
      <c r="A692" s="25"/>
      <c r="U692" s="25"/>
      <c r="V692" s="25"/>
    </row>
    <row r="693" spans="1:22" ht="14.25" customHeight="1" x14ac:dyDescent="0.3">
      <c r="A693" s="25"/>
      <c r="U693" s="25"/>
      <c r="V693" s="25"/>
    </row>
    <row r="694" spans="1:22" ht="14.25" customHeight="1" x14ac:dyDescent="0.3">
      <c r="A694" s="25"/>
      <c r="U694" s="25"/>
      <c r="V694" s="25"/>
    </row>
    <row r="695" spans="1:22" ht="14.25" customHeight="1" x14ac:dyDescent="0.3">
      <c r="A695" s="25"/>
      <c r="U695" s="25"/>
      <c r="V695" s="25"/>
    </row>
    <row r="696" spans="1:22" ht="14.25" customHeight="1" x14ac:dyDescent="0.3">
      <c r="A696" s="25"/>
      <c r="U696" s="25"/>
      <c r="V696" s="25"/>
    </row>
    <row r="697" spans="1:22" ht="14.25" customHeight="1" x14ac:dyDescent="0.3">
      <c r="A697" s="25"/>
      <c r="U697" s="25"/>
      <c r="V697" s="25"/>
    </row>
    <row r="698" spans="1:22" ht="14.25" customHeight="1" x14ac:dyDescent="0.3">
      <c r="A698" s="25"/>
      <c r="U698" s="25"/>
      <c r="V698" s="25"/>
    </row>
    <row r="699" spans="1:22" ht="14.25" customHeight="1" x14ac:dyDescent="0.3">
      <c r="A699" s="25"/>
      <c r="U699" s="25"/>
      <c r="V699" s="25"/>
    </row>
    <row r="700" spans="1:22" ht="14.25" customHeight="1" x14ac:dyDescent="0.3">
      <c r="A700" s="25"/>
      <c r="U700" s="25"/>
      <c r="V700" s="25"/>
    </row>
    <row r="701" spans="1:22" ht="14.25" customHeight="1" x14ac:dyDescent="0.3">
      <c r="A701" s="25"/>
      <c r="U701" s="25"/>
      <c r="V701" s="25"/>
    </row>
    <row r="702" spans="1:22" ht="14.25" customHeight="1" x14ac:dyDescent="0.3">
      <c r="A702" s="25"/>
      <c r="U702" s="25"/>
      <c r="V702" s="25"/>
    </row>
    <row r="703" spans="1:22" ht="14.25" customHeight="1" x14ac:dyDescent="0.3">
      <c r="A703" s="25"/>
      <c r="U703" s="25"/>
      <c r="V703" s="25"/>
    </row>
    <row r="704" spans="1:22" ht="14.25" customHeight="1" x14ac:dyDescent="0.3">
      <c r="A704" s="25"/>
      <c r="U704" s="25"/>
      <c r="V704" s="25"/>
    </row>
    <row r="705" spans="1:22" ht="14.25" customHeight="1" x14ac:dyDescent="0.3">
      <c r="A705" s="25"/>
      <c r="U705" s="25"/>
      <c r="V705" s="25"/>
    </row>
    <row r="706" spans="1:22" ht="14.25" customHeight="1" x14ac:dyDescent="0.3">
      <c r="A706" s="25"/>
      <c r="U706" s="25"/>
      <c r="V706" s="25"/>
    </row>
    <row r="707" spans="1:22" ht="14.25" customHeight="1" x14ac:dyDescent="0.3">
      <c r="A707" s="25"/>
      <c r="U707" s="25"/>
      <c r="V707" s="25"/>
    </row>
    <row r="708" spans="1:22" ht="14.25" customHeight="1" x14ac:dyDescent="0.3">
      <c r="A708" s="25"/>
      <c r="U708" s="25"/>
      <c r="V708" s="25"/>
    </row>
    <row r="709" spans="1:22" ht="14.25" customHeight="1" x14ac:dyDescent="0.3">
      <c r="A709" s="25"/>
      <c r="U709" s="25"/>
      <c r="V709" s="25"/>
    </row>
    <row r="710" spans="1:22" ht="14.25" customHeight="1" x14ac:dyDescent="0.3">
      <c r="A710" s="25"/>
      <c r="U710" s="25"/>
      <c r="V710" s="25"/>
    </row>
    <row r="711" spans="1:22" ht="14.25" customHeight="1" x14ac:dyDescent="0.3">
      <c r="A711" s="25"/>
      <c r="U711" s="25"/>
      <c r="V711" s="25"/>
    </row>
    <row r="712" spans="1:22" ht="14.25" customHeight="1" x14ac:dyDescent="0.3">
      <c r="A712" s="25"/>
      <c r="U712" s="25"/>
      <c r="V712" s="25"/>
    </row>
    <row r="713" spans="1:22" ht="14.25" customHeight="1" x14ac:dyDescent="0.3">
      <c r="A713" s="25"/>
      <c r="U713" s="25"/>
      <c r="V713" s="25"/>
    </row>
    <row r="714" spans="1:22" ht="14.25" customHeight="1" x14ac:dyDescent="0.3">
      <c r="A714" s="25"/>
      <c r="U714" s="25"/>
      <c r="V714" s="25"/>
    </row>
    <row r="715" spans="1:22" ht="14.25" customHeight="1" x14ac:dyDescent="0.3">
      <c r="A715" s="25"/>
      <c r="U715" s="25"/>
      <c r="V715" s="25"/>
    </row>
    <row r="716" spans="1:22" ht="14.25" customHeight="1" x14ac:dyDescent="0.3">
      <c r="A716" s="25"/>
      <c r="U716" s="25"/>
      <c r="V716" s="25"/>
    </row>
    <row r="717" spans="1:22" ht="14.25" customHeight="1" x14ac:dyDescent="0.3">
      <c r="A717" s="25"/>
      <c r="U717" s="25"/>
      <c r="V717" s="25"/>
    </row>
    <row r="718" spans="1:22" ht="14.25" customHeight="1" x14ac:dyDescent="0.3">
      <c r="A718" s="25"/>
      <c r="U718" s="25"/>
      <c r="V718" s="25"/>
    </row>
    <row r="719" spans="1:22" ht="14.25" customHeight="1" x14ac:dyDescent="0.3">
      <c r="A719" s="25"/>
      <c r="U719" s="25"/>
      <c r="V719" s="25"/>
    </row>
    <row r="720" spans="1:22" ht="14.25" customHeight="1" x14ac:dyDescent="0.3">
      <c r="A720" s="25"/>
      <c r="U720" s="25"/>
      <c r="V720" s="25"/>
    </row>
    <row r="721" spans="1:22" ht="14.25" customHeight="1" x14ac:dyDescent="0.3">
      <c r="A721" s="25"/>
      <c r="U721" s="25"/>
      <c r="V721" s="25"/>
    </row>
    <row r="722" spans="1:22" ht="14.25" customHeight="1" x14ac:dyDescent="0.3">
      <c r="A722" s="25"/>
      <c r="U722" s="25"/>
      <c r="V722" s="25"/>
    </row>
    <row r="723" spans="1:22" ht="14.25" customHeight="1" x14ac:dyDescent="0.3">
      <c r="A723" s="25"/>
      <c r="U723" s="25"/>
      <c r="V723" s="25"/>
    </row>
    <row r="724" spans="1:22" ht="14.25" customHeight="1" x14ac:dyDescent="0.3">
      <c r="A724" s="25"/>
      <c r="U724" s="25"/>
      <c r="V724" s="25"/>
    </row>
    <row r="725" spans="1:22" ht="14.25" customHeight="1" x14ac:dyDescent="0.3">
      <c r="A725" s="25"/>
      <c r="U725" s="25"/>
      <c r="V725" s="25"/>
    </row>
    <row r="726" spans="1:22" ht="14.25" customHeight="1" x14ac:dyDescent="0.3">
      <c r="A726" s="25"/>
      <c r="U726" s="25"/>
      <c r="V726" s="25"/>
    </row>
    <row r="727" spans="1:22" ht="14.25" customHeight="1" x14ac:dyDescent="0.3">
      <c r="A727" s="25"/>
      <c r="U727" s="25"/>
      <c r="V727" s="25"/>
    </row>
    <row r="728" spans="1:22" ht="14.25" customHeight="1" x14ac:dyDescent="0.3">
      <c r="A728" s="25"/>
      <c r="U728" s="25"/>
      <c r="V728" s="25"/>
    </row>
    <row r="729" spans="1:22" ht="14.25" customHeight="1" x14ac:dyDescent="0.3">
      <c r="A729" s="25"/>
      <c r="U729" s="25"/>
      <c r="V729" s="25"/>
    </row>
    <row r="730" spans="1:22" ht="14.25" customHeight="1" x14ac:dyDescent="0.3">
      <c r="A730" s="25"/>
      <c r="U730" s="25"/>
      <c r="V730" s="25"/>
    </row>
    <row r="731" spans="1:22" ht="14.25" customHeight="1" x14ac:dyDescent="0.3">
      <c r="A731" s="25"/>
      <c r="U731" s="25"/>
      <c r="V731" s="25"/>
    </row>
    <row r="732" spans="1:22" ht="14.25" customHeight="1" x14ac:dyDescent="0.3">
      <c r="A732" s="25"/>
      <c r="U732" s="25"/>
      <c r="V732" s="25"/>
    </row>
    <row r="733" spans="1:22" ht="14.25" customHeight="1" x14ac:dyDescent="0.3">
      <c r="A733" s="25"/>
      <c r="U733" s="25"/>
      <c r="V733" s="25"/>
    </row>
    <row r="734" spans="1:22" ht="14.25" customHeight="1" x14ac:dyDescent="0.3">
      <c r="A734" s="25"/>
      <c r="U734" s="25"/>
      <c r="V734" s="25"/>
    </row>
    <row r="735" spans="1:22" ht="14.25" customHeight="1" x14ac:dyDescent="0.3">
      <c r="A735" s="25"/>
      <c r="U735" s="25"/>
      <c r="V735" s="25"/>
    </row>
    <row r="736" spans="1:22" ht="14.25" customHeight="1" x14ac:dyDescent="0.3">
      <c r="A736" s="25"/>
      <c r="U736" s="25"/>
      <c r="V736" s="25"/>
    </row>
    <row r="737" spans="1:22" ht="14.25" customHeight="1" x14ac:dyDescent="0.3">
      <c r="A737" s="25"/>
      <c r="U737" s="25"/>
      <c r="V737" s="25"/>
    </row>
    <row r="738" spans="1:22" ht="14.25" customHeight="1" x14ac:dyDescent="0.3">
      <c r="A738" s="25"/>
      <c r="U738" s="25"/>
      <c r="V738" s="25"/>
    </row>
    <row r="739" spans="1:22" ht="14.25" customHeight="1" x14ac:dyDescent="0.3">
      <c r="A739" s="25"/>
      <c r="U739" s="25"/>
      <c r="V739" s="25"/>
    </row>
    <row r="740" spans="1:22" ht="14.25" customHeight="1" x14ac:dyDescent="0.3">
      <c r="A740" s="25"/>
      <c r="U740" s="25"/>
      <c r="V740" s="25"/>
    </row>
    <row r="741" spans="1:22" ht="14.25" customHeight="1" x14ac:dyDescent="0.3">
      <c r="A741" s="25"/>
      <c r="U741" s="25"/>
      <c r="V741" s="25"/>
    </row>
    <row r="742" spans="1:22" ht="14.25" customHeight="1" x14ac:dyDescent="0.3">
      <c r="A742" s="25"/>
      <c r="U742" s="25"/>
      <c r="V742" s="25"/>
    </row>
    <row r="743" spans="1:22" ht="14.25" customHeight="1" x14ac:dyDescent="0.3">
      <c r="A743" s="25"/>
      <c r="U743" s="25"/>
      <c r="V743" s="25"/>
    </row>
    <row r="744" spans="1:22" ht="14.25" customHeight="1" x14ac:dyDescent="0.3">
      <c r="A744" s="25"/>
      <c r="U744" s="25"/>
      <c r="V744" s="25"/>
    </row>
    <row r="745" spans="1:22" ht="14.25" customHeight="1" x14ac:dyDescent="0.3">
      <c r="A745" s="25"/>
      <c r="U745" s="25"/>
      <c r="V745" s="25"/>
    </row>
    <row r="746" spans="1:22" ht="14.25" customHeight="1" x14ac:dyDescent="0.3">
      <c r="A746" s="25"/>
      <c r="U746" s="25"/>
      <c r="V746" s="25"/>
    </row>
    <row r="747" spans="1:22" ht="14.25" customHeight="1" x14ac:dyDescent="0.3">
      <c r="A747" s="25"/>
      <c r="U747" s="25"/>
      <c r="V747" s="25"/>
    </row>
    <row r="748" spans="1:22" ht="14.25" customHeight="1" x14ac:dyDescent="0.3">
      <c r="A748" s="25"/>
      <c r="U748" s="25"/>
      <c r="V748" s="25"/>
    </row>
    <row r="749" spans="1:22" ht="14.25" customHeight="1" x14ac:dyDescent="0.3">
      <c r="A749" s="25"/>
      <c r="U749" s="25"/>
      <c r="V749" s="25"/>
    </row>
    <row r="750" spans="1:22" ht="14.25" customHeight="1" x14ac:dyDescent="0.3">
      <c r="A750" s="25"/>
      <c r="U750" s="25"/>
      <c r="V750" s="25"/>
    </row>
    <row r="751" spans="1:22" ht="14.25" customHeight="1" x14ac:dyDescent="0.3">
      <c r="A751" s="25"/>
      <c r="U751" s="25"/>
      <c r="V751" s="25"/>
    </row>
    <row r="752" spans="1:22" ht="14.25" customHeight="1" x14ac:dyDescent="0.3">
      <c r="A752" s="25"/>
      <c r="U752" s="25"/>
      <c r="V752" s="25"/>
    </row>
    <row r="753" spans="1:22" ht="14.25" customHeight="1" x14ac:dyDescent="0.3">
      <c r="A753" s="25"/>
      <c r="U753" s="25"/>
      <c r="V753" s="25"/>
    </row>
    <row r="754" spans="1:22" ht="14.25" customHeight="1" x14ac:dyDescent="0.3">
      <c r="A754" s="25"/>
      <c r="U754" s="25"/>
      <c r="V754" s="25"/>
    </row>
    <row r="755" spans="1:22" ht="14.25" customHeight="1" x14ac:dyDescent="0.3">
      <c r="A755" s="25"/>
      <c r="U755" s="25"/>
      <c r="V755" s="25"/>
    </row>
    <row r="756" spans="1:22" ht="14.25" customHeight="1" x14ac:dyDescent="0.3">
      <c r="A756" s="25"/>
      <c r="U756" s="25"/>
      <c r="V756" s="25"/>
    </row>
    <row r="757" spans="1:22" ht="14.25" customHeight="1" x14ac:dyDescent="0.3">
      <c r="A757" s="25"/>
      <c r="U757" s="25"/>
      <c r="V757" s="25"/>
    </row>
    <row r="758" spans="1:22" ht="14.25" customHeight="1" x14ac:dyDescent="0.3">
      <c r="A758" s="25"/>
      <c r="U758" s="25"/>
      <c r="V758" s="25"/>
    </row>
    <row r="759" spans="1:22" ht="14.25" customHeight="1" x14ac:dyDescent="0.3">
      <c r="A759" s="25"/>
      <c r="U759" s="25"/>
      <c r="V759" s="25"/>
    </row>
    <row r="760" spans="1:22" ht="14.25" customHeight="1" x14ac:dyDescent="0.3">
      <c r="A760" s="25"/>
      <c r="U760" s="25"/>
      <c r="V760" s="25"/>
    </row>
    <row r="761" spans="1:22" ht="14.25" customHeight="1" x14ac:dyDescent="0.3">
      <c r="A761" s="25"/>
      <c r="U761" s="25"/>
      <c r="V761" s="25"/>
    </row>
    <row r="762" spans="1:22" ht="14.25" customHeight="1" x14ac:dyDescent="0.3">
      <c r="A762" s="25"/>
      <c r="U762" s="25"/>
      <c r="V762" s="25"/>
    </row>
    <row r="763" spans="1:22" ht="14.25" customHeight="1" x14ac:dyDescent="0.3">
      <c r="A763" s="25"/>
      <c r="U763" s="25"/>
      <c r="V763" s="25"/>
    </row>
    <row r="764" spans="1:22" ht="14.25" customHeight="1" x14ac:dyDescent="0.3">
      <c r="A764" s="25"/>
      <c r="U764" s="25"/>
      <c r="V764" s="25"/>
    </row>
    <row r="765" spans="1:22" ht="14.25" customHeight="1" x14ac:dyDescent="0.3">
      <c r="A765" s="25"/>
      <c r="U765" s="25"/>
      <c r="V765" s="25"/>
    </row>
    <row r="766" spans="1:22" ht="14.25" customHeight="1" x14ac:dyDescent="0.3">
      <c r="A766" s="25"/>
      <c r="U766" s="25"/>
      <c r="V766" s="25"/>
    </row>
    <row r="767" spans="1:22" ht="14.25" customHeight="1" x14ac:dyDescent="0.3">
      <c r="A767" s="25"/>
      <c r="U767" s="25"/>
      <c r="V767" s="25"/>
    </row>
    <row r="768" spans="1:22" ht="14.25" customHeight="1" x14ac:dyDescent="0.3">
      <c r="A768" s="25"/>
      <c r="U768" s="25"/>
      <c r="V768" s="25"/>
    </row>
    <row r="769" spans="1:22" ht="14.25" customHeight="1" x14ac:dyDescent="0.3">
      <c r="A769" s="25"/>
      <c r="U769" s="25"/>
      <c r="V769" s="25"/>
    </row>
    <row r="770" spans="1:22" ht="14.25" customHeight="1" x14ac:dyDescent="0.3">
      <c r="A770" s="25"/>
      <c r="U770" s="25"/>
      <c r="V770" s="25"/>
    </row>
    <row r="771" spans="1:22" ht="14.25" customHeight="1" x14ac:dyDescent="0.3">
      <c r="A771" s="25"/>
      <c r="U771" s="25"/>
      <c r="V771" s="25"/>
    </row>
    <row r="772" spans="1:22" ht="14.25" customHeight="1" x14ac:dyDescent="0.3">
      <c r="A772" s="25"/>
      <c r="U772" s="25"/>
      <c r="V772" s="25"/>
    </row>
    <row r="773" spans="1:22" ht="14.25" customHeight="1" x14ac:dyDescent="0.3">
      <c r="A773" s="25"/>
      <c r="U773" s="25"/>
      <c r="V773" s="25"/>
    </row>
    <row r="774" spans="1:22" ht="14.25" customHeight="1" x14ac:dyDescent="0.3">
      <c r="A774" s="25"/>
      <c r="U774" s="25"/>
      <c r="V774" s="25"/>
    </row>
    <row r="775" spans="1:22" ht="14.25" customHeight="1" x14ac:dyDescent="0.3">
      <c r="A775" s="25"/>
      <c r="U775" s="25"/>
      <c r="V775" s="25"/>
    </row>
    <row r="776" spans="1:22" ht="14.25" customHeight="1" x14ac:dyDescent="0.3">
      <c r="A776" s="25"/>
      <c r="U776" s="25"/>
      <c r="V776" s="25"/>
    </row>
    <row r="777" spans="1:22" ht="14.25" customHeight="1" x14ac:dyDescent="0.3">
      <c r="A777" s="25"/>
      <c r="U777" s="25"/>
      <c r="V777" s="25"/>
    </row>
    <row r="778" spans="1:22" ht="14.25" customHeight="1" x14ac:dyDescent="0.3">
      <c r="A778" s="25"/>
      <c r="U778" s="25"/>
      <c r="V778" s="25"/>
    </row>
    <row r="779" spans="1:22" ht="14.25" customHeight="1" x14ac:dyDescent="0.3">
      <c r="A779" s="25"/>
      <c r="U779" s="25"/>
      <c r="V779" s="25"/>
    </row>
    <row r="780" spans="1:22" ht="14.25" customHeight="1" x14ac:dyDescent="0.3">
      <c r="A780" s="25"/>
      <c r="U780" s="25"/>
      <c r="V780" s="25"/>
    </row>
    <row r="781" spans="1:22" ht="14.25" customHeight="1" x14ac:dyDescent="0.3">
      <c r="A781" s="25"/>
      <c r="U781" s="25"/>
      <c r="V781" s="25"/>
    </row>
    <row r="782" spans="1:22" ht="14.25" customHeight="1" x14ac:dyDescent="0.3">
      <c r="A782" s="25"/>
      <c r="U782" s="25"/>
      <c r="V782" s="25"/>
    </row>
    <row r="783" spans="1:22" ht="14.25" customHeight="1" x14ac:dyDescent="0.3">
      <c r="A783" s="25"/>
      <c r="U783" s="25"/>
      <c r="V783" s="25"/>
    </row>
    <row r="784" spans="1:22" ht="14.25" customHeight="1" x14ac:dyDescent="0.3">
      <c r="A784" s="25"/>
      <c r="U784" s="25"/>
      <c r="V784" s="25"/>
    </row>
    <row r="785" spans="1:22" ht="14.25" customHeight="1" x14ac:dyDescent="0.3">
      <c r="A785" s="25"/>
      <c r="U785" s="25"/>
      <c r="V785" s="25"/>
    </row>
    <row r="786" spans="1:22" ht="14.25" customHeight="1" x14ac:dyDescent="0.3">
      <c r="A786" s="25"/>
      <c r="U786" s="25"/>
      <c r="V786" s="25"/>
    </row>
    <row r="787" spans="1:22" ht="14.25" customHeight="1" x14ac:dyDescent="0.3">
      <c r="A787" s="25"/>
      <c r="U787" s="25"/>
      <c r="V787" s="25"/>
    </row>
    <row r="788" spans="1:22" ht="14.25" customHeight="1" x14ac:dyDescent="0.3">
      <c r="A788" s="25"/>
      <c r="U788" s="25"/>
      <c r="V788" s="25"/>
    </row>
    <row r="789" spans="1:22" ht="14.25" customHeight="1" x14ac:dyDescent="0.3">
      <c r="A789" s="25"/>
      <c r="U789" s="25"/>
      <c r="V789" s="25"/>
    </row>
    <row r="790" spans="1:22" ht="14.25" customHeight="1" x14ac:dyDescent="0.3">
      <c r="A790" s="25"/>
      <c r="U790" s="25"/>
      <c r="V790" s="25"/>
    </row>
    <row r="791" spans="1:22" ht="14.25" customHeight="1" x14ac:dyDescent="0.3">
      <c r="A791" s="25"/>
      <c r="U791" s="25"/>
      <c r="V791" s="25"/>
    </row>
    <row r="792" spans="1:22" ht="14.25" customHeight="1" x14ac:dyDescent="0.3">
      <c r="A792" s="25"/>
      <c r="U792" s="25"/>
      <c r="V792" s="25"/>
    </row>
    <row r="793" spans="1:22" ht="14.25" customHeight="1" x14ac:dyDescent="0.3">
      <c r="A793" s="25"/>
      <c r="U793" s="25"/>
      <c r="V793" s="25"/>
    </row>
    <row r="794" spans="1:22" ht="14.25" customHeight="1" x14ac:dyDescent="0.3">
      <c r="A794" s="25"/>
      <c r="U794" s="25"/>
      <c r="V794" s="25"/>
    </row>
    <row r="795" spans="1:22" ht="14.25" customHeight="1" x14ac:dyDescent="0.3">
      <c r="A795" s="25"/>
      <c r="U795" s="25"/>
      <c r="V795" s="25"/>
    </row>
    <row r="796" spans="1:22" ht="14.25" customHeight="1" x14ac:dyDescent="0.3">
      <c r="A796" s="25"/>
      <c r="U796" s="25"/>
      <c r="V796" s="25"/>
    </row>
    <row r="797" spans="1:22" ht="14.25" customHeight="1" x14ac:dyDescent="0.3">
      <c r="A797" s="25"/>
      <c r="U797" s="25"/>
      <c r="V797" s="25"/>
    </row>
    <row r="798" spans="1:22" ht="14.25" customHeight="1" x14ac:dyDescent="0.3">
      <c r="A798" s="25"/>
      <c r="U798" s="25"/>
      <c r="V798" s="25"/>
    </row>
    <row r="799" spans="1:22" ht="14.25" customHeight="1" x14ac:dyDescent="0.3">
      <c r="A799" s="25"/>
      <c r="U799" s="25"/>
      <c r="V799" s="25"/>
    </row>
    <row r="800" spans="1:22" ht="14.25" customHeight="1" x14ac:dyDescent="0.3">
      <c r="A800" s="25"/>
      <c r="U800" s="25"/>
      <c r="V800" s="25"/>
    </row>
    <row r="801" spans="1:22" ht="14.25" customHeight="1" x14ac:dyDescent="0.3">
      <c r="A801" s="25"/>
      <c r="U801" s="25"/>
      <c r="V801" s="25"/>
    </row>
    <row r="802" spans="1:22" ht="14.25" customHeight="1" x14ac:dyDescent="0.3">
      <c r="A802" s="25"/>
      <c r="U802" s="25"/>
      <c r="V802" s="25"/>
    </row>
    <row r="803" spans="1:22" ht="14.25" customHeight="1" x14ac:dyDescent="0.3">
      <c r="A803" s="25"/>
      <c r="U803" s="25"/>
      <c r="V803" s="25"/>
    </row>
    <row r="804" spans="1:22" ht="14.25" customHeight="1" x14ac:dyDescent="0.3">
      <c r="A804" s="25"/>
      <c r="U804" s="25"/>
      <c r="V804" s="25"/>
    </row>
    <row r="805" spans="1:22" ht="14.25" customHeight="1" x14ac:dyDescent="0.3">
      <c r="A805" s="25"/>
      <c r="U805" s="25"/>
      <c r="V805" s="25"/>
    </row>
    <row r="806" spans="1:22" ht="14.25" customHeight="1" x14ac:dyDescent="0.3">
      <c r="A806" s="25"/>
      <c r="U806" s="25"/>
      <c r="V806" s="25"/>
    </row>
    <row r="807" spans="1:22" ht="14.25" customHeight="1" x14ac:dyDescent="0.3">
      <c r="A807" s="25"/>
      <c r="U807" s="25"/>
      <c r="V807" s="25"/>
    </row>
    <row r="808" spans="1:22" ht="14.25" customHeight="1" x14ac:dyDescent="0.3">
      <c r="A808" s="25"/>
      <c r="U808" s="25"/>
      <c r="V808" s="25"/>
    </row>
    <row r="809" spans="1:22" ht="14.25" customHeight="1" x14ac:dyDescent="0.3">
      <c r="A809" s="25"/>
      <c r="U809" s="25"/>
      <c r="V809" s="25"/>
    </row>
    <row r="810" spans="1:22" ht="14.25" customHeight="1" x14ac:dyDescent="0.3">
      <c r="A810" s="25"/>
      <c r="U810" s="25"/>
      <c r="V810" s="25"/>
    </row>
    <row r="811" spans="1:22" ht="14.25" customHeight="1" x14ac:dyDescent="0.3">
      <c r="A811" s="25"/>
      <c r="U811" s="25"/>
      <c r="V811" s="25"/>
    </row>
    <row r="812" spans="1:22" ht="14.25" customHeight="1" x14ac:dyDescent="0.3">
      <c r="A812" s="25"/>
      <c r="U812" s="25"/>
      <c r="V812" s="25"/>
    </row>
    <row r="813" spans="1:22" ht="14.25" customHeight="1" x14ac:dyDescent="0.3">
      <c r="A813" s="25"/>
      <c r="U813" s="25"/>
      <c r="V813" s="25"/>
    </row>
    <row r="814" spans="1:22" ht="14.25" customHeight="1" x14ac:dyDescent="0.3">
      <c r="A814" s="25"/>
      <c r="U814" s="25"/>
      <c r="V814" s="25"/>
    </row>
    <row r="815" spans="1:22" ht="14.25" customHeight="1" x14ac:dyDescent="0.3">
      <c r="A815" s="25"/>
      <c r="U815" s="25"/>
      <c r="V815" s="25"/>
    </row>
    <row r="816" spans="1:22" ht="14.25" customHeight="1" x14ac:dyDescent="0.3">
      <c r="A816" s="25"/>
      <c r="U816" s="25"/>
      <c r="V816" s="25"/>
    </row>
    <row r="817" spans="1:22" ht="14.25" customHeight="1" x14ac:dyDescent="0.3">
      <c r="A817" s="25"/>
      <c r="U817" s="25"/>
      <c r="V817" s="25"/>
    </row>
    <row r="818" spans="1:22" ht="14.25" customHeight="1" x14ac:dyDescent="0.3">
      <c r="A818" s="25"/>
      <c r="U818" s="25"/>
      <c r="V818" s="25"/>
    </row>
    <row r="819" spans="1:22" ht="14.25" customHeight="1" x14ac:dyDescent="0.3">
      <c r="A819" s="25"/>
      <c r="U819" s="25"/>
      <c r="V819" s="25"/>
    </row>
    <row r="820" spans="1:22" ht="14.25" customHeight="1" x14ac:dyDescent="0.3">
      <c r="A820" s="25"/>
      <c r="U820" s="25"/>
      <c r="V820" s="25"/>
    </row>
    <row r="821" spans="1:22" ht="14.25" customHeight="1" x14ac:dyDescent="0.3">
      <c r="A821" s="25"/>
      <c r="U821" s="25"/>
      <c r="V821" s="25"/>
    </row>
    <row r="822" spans="1:22" ht="14.25" customHeight="1" x14ac:dyDescent="0.3">
      <c r="A822" s="25"/>
      <c r="U822" s="25"/>
      <c r="V822" s="25"/>
    </row>
    <row r="823" spans="1:22" ht="14.25" customHeight="1" x14ac:dyDescent="0.3">
      <c r="A823" s="25"/>
      <c r="U823" s="25"/>
      <c r="V823" s="25"/>
    </row>
    <row r="824" spans="1:22" ht="14.25" customHeight="1" x14ac:dyDescent="0.3">
      <c r="A824" s="25"/>
      <c r="U824" s="25"/>
      <c r="V824" s="25"/>
    </row>
    <row r="825" spans="1:22" ht="14.25" customHeight="1" x14ac:dyDescent="0.3">
      <c r="A825" s="25"/>
      <c r="U825" s="25"/>
      <c r="V825" s="25"/>
    </row>
    <row r="826" spans="1:22" ht="14.25" customHeight="1" x14ac:dyDescent="0.3">
      <c r="A826" s="25"/>
      <c r="U826" s="25"/>
      <c r="V826" s="25"/>
    </row>
    <row r="827" spans="1:22" ht="14.25" customHeight="1" x14ac:dyDescent="0.3">
      <c r="A827" s="25"/>
      <c r="U827" s="25"/>
      <c r="V827" s="25"/>
    </row>
    <row r="828" spans="1:22" ht="14.25" customHeight="1" x14ac:dyDescent="0.3">
      <c r="A828" s="25"/>
      <c r="U828" s="25"/>
      <c r="V828" s="25"/>
    </row>
    <row r="829" spans="1:22" ht="14.25" customHeight="1" x14ac:dyDescent="0.3">
      <c r="A829" s="25"/>
      <c r="U829" s="25"/>
      <c r="V829" s="25"/>
    </row>
    <row r="830" spans="1:22" ht="14.25" customHeight="1" x14ac:dyDescent="0.3">
      <c r="A830" s="25"/>
      <c r="U830" s="25"/>
      <c r="V830" s="25"/>
    </row>
    <row r="831" spans="1:22" ht="14.25" customHeight="1" x14ac:dyDescent="0.3">
      <c r="A831" s="25"/>
      <c r="U831" s="25"/>
      <c r="V831" s="25"/>
    </row>
    <row r="832" spans="1:22" ht="14.25" customHeight="1" x14ac:dyDescent="0.3">
      <c r="A832" s="25"/>
      <c r="U832" s="25"/>
      <c r="V832" s="25"/>
    </row>
    <row r="833" spans="1:22" ht="14.25" customHeight="1" x14ac:dyDescent="0.3">
      <c r="A833" s="25"/>
      <c r="U833" s="25"/>
      <c r="V833" s="25"/>
    </row>
    <row r="834" spans="1:22" ht="14.25" customHeight="1" x14ac:dyDescent="0.3">
      <c r="A834" s="25"/>
      <c r="U834" s="25"/>
      <c r="V834" s="25"/>
    </row>
    <row r="835" spans="1:22" ht="14.25" customHeight="1" x14ac:dyDescent="0.3">
      <c r="A835" s="25"/>
      <c r="U835" s="25"/>
      <c r="V835" s="25"/>
    </row>
    <row r="836" spans="1:22" ht="14.25" customHeight="1" x14ac:dyDescent="0.3">
      <c r="A836" s="25"/>
      <c r="U836" s="25"/>
      <c r="V836" s="25"/>
    </row>
    <row r="837" spans="1:22" ht="14.25" customHeight="1" x14ac:dyDescent="0.3">
      <c r="A837" s="25"/>
      <c r="U837" s="25"/>
      <c r="V837" s="25"/>
    </row>
    <row r="838" spans="1:22" ht="14.25" customHeight="1" x14ac:dyDescent="0.3">
      <c r="A838" s="25"/>
      <c r="U838" s="25"/>
      <c r="V838" s="25"/>
    </row>
    <row r="839" spans="1:22" ht="14.25" customHeight="1" x14ac:dyDescent="0.3">
      <c r="A839" s="25"/>
      <c r="U839" s="25"/>
      <c r="V839" s="25"/>
    </row>
    <row r="840" spans="1:22" ht="14.25" customHeight="1" x14ac:dyDescent="0.3">
      <c r="A840" s="25"/>
      <c r="U840" s="25"/>
      <c r="V840" s="25"/>
    </row>
    <row r="841" spans="1:22" ht="14.25" customHeight="1" x14ac:dyDescent="0.3">
      <c r="A841" s="25"/>
      <c r="U841" s="25"/>
      <c r="V841" s="25"/>
    </row>
    <row r="842" spans="1:22" ht="14.25" customHeight="1" x14ac:dyDescent="0.3">
      <c r="A842" s="25"/>
      <c r="U842" s="25"/>
      <c r="V842" s="25"/>
    </row>
    <row r="843" spans="1:22" ht="14.25" customHeight="1" x14ac:dyDescent="0.3">
      <c r="A843" s="25"/>
      <c r="U843" s="25"/>
      <c r="V843" s="25"/>
    </row>
    <row r="844" spans="1:22" ht="14.25" customHeight="1" x14ac:dyDescent="0.3">
      <c r="A844" s="25"/>
      <c r="U844" s="25"/>
      <c r="V844" s="25"/>
    </row>
    <row r="845" spans="1:22" ht="14.25" customHeight="1" x14ac:dyDescent="0.3">
      <c r="A845" s="25"/>
      <c r="U845" s="25"/>
      <c r="V845" s="25"/>
    </row>
    <row r="846" spans="1:22" ht="14.25" customHeight="1" x14ac:dyDescent="0.3">
      <c r="A846" s="25"/>
      <c r="U846" s="25"/>
      <c r="V846" s="25"/>
    </row>
    <row r="847" spans="1:22" ht="14.25" customHeight="1" x14ac:dyDescent="0.3">
      <c r="A847" s="25"/>
      <c r="U847" s="25"/>
      <c r="V847" s="25"/>
    </row>
    <row r="848" spans="1:22" ht="14.25" customHeight="1" x14ac:dyDescent="0.3">
      <c r="A848" s="25"/>
      <c r="U848" s="25"/>
      <c r="V848" s="25"/>
    </row>
    <row r="849" spans="1:22" ht="14.25" customHeight="1" x14ac:dyDescent="0.3">
      <c r="A849" s="25"/>
      <c r="U849" s="25"/>
      <c r="V849" s="25"/>
    </row>
    <row r="850" spans="1:22" ht="14.25" customHeight="1" x14ac:dyDescent="0.3">
      <c r="A850" s="25"/>
      <c r="U850" s="25"/>
      <c r="V850" s="25"/>
    </row>
    <row r="851" spans="1:22" ht="14.25" customHeight="1" x14ac:dyDescent="0.3">
      <c r="A851" s="25"/>
      <c r="U851" s="25"/>
      <c r="V851" s="25"/>
    </row>
    <row r="852" spans="1:22" ht="14.25" customHeight="1" x14ac:dyDescent="0.3">
      <c r="A852" s="25"/>
      <c r="U852" s="25"/>
      <c r="V852" s="25"/>
    </row>
    <row r="853" spans="1:22" ht="14.25" customHeight="1" x14ac:dyDescent="0.3">
      <c r="A853" s="25"/>
      <c r="U853" s="25"/>
      <c r="V853" s="25"/>
    </row>
    <row r="854" spans="1:22" ht="14.25" customHeight="1" x14ac:dyDescent="0.3">
      <c r="A854" s="25"/>
      <c r="U854" s="25"/>
      <c r="V854" s="25"/>
    </row>
    <row r="855" spans="1:22" ht="14.25" customHeight="1" x14ac:dyDescent="0.3">
      <c r="A855" s="25"/>
      <c r="U855" s="25"/>
      <c r="V855" s="25"/>
    </row>
    <row r="856" spans="1:22" ht="14.25" customHeight="1" x14ac:dyDescent="0.3">
      <c r="A856" s="25"/>
      <c r="U856" s="25"/>
      <c r="V856" s="25"/>
    </row>
    <row r="857" spans="1:22" ht="14.25" customHeight="1" x14ac:dyDescent="0.3">
      <c r="A857" s="25"/>
      <c r="U857" s="25"/>
      <c r="V857" s="25"/>
    </row>
    <row r="858" spans="1:22" ht="14.25" customHeight="1" x14ac:dyDescent="0.3">
      <c r="A858" s="25"/>
      <c r="U858" s="25"/>
      <c r="V858" s="25"/>
    </row>
    <row r="859" spans="1:22" ht="14.25" customHeight="1" x14ac:dyDescent="0.3">
      <c r="A859" s="25"/>
      <c r="U859" s="25"/>
      <c r="V859" s="25"/>
    </row>
    <row r="860" spans="1:22" ht="14.25" customHeight="1" x14ac:dyDescent="0.3">
      <c r="A860" s="25"/>
      <c r="U860" s="25"/>
      <c r="V860" s="25"/>
    </row>
    <row r="861" spans="1:22" ht="14.25" customHeight="1" x14ac:dyDescent="0.3">
      <c r="A861" s="25"/>
      <c r="U861" s="25"/>
      <c r="V861" s="25"/>
    </row>
    <row r="862" spans="1:22" ht="14.25" customHeight="1" x14ac:dyDescent="0.3">
      <c r="A862" s="25"/>
      <c r="U862" s="25"/>
      <c r="V862" s="25"/>
    </row>
    <row r="863" spans="1:22" ht="14.25" customHeight="1" x14ac:dyDescent="0.3">
      <c r="A863" s="25"/>
      <c r="U863" s="25"/>
      <c r="V863" s="25"/>
    </row>
    <row r="864" spans="1:22" ht="14.25" customHeight="1" x14ac:dyDescent="0.3">
      <c r="A864" s="25"/>
      <c r="U864" s="25"/>
      <c r="V864" s="25"/>
    </row>
    <row r="865" spans="1:22" ht="14.25" customHeight="1" x14ac:dyDescent="0.3">
      <c r="A865" s="25"/>
      <c r="U865" s="25"/>
      <c r="V865" s="25"/>
    </row>
    <row r="866" spans="1:22" ht="14.25" customHeight="1" x14ac:dyDescent="0.3">
      <c r="A866" s="25"/>
      <c r="U866" s="25"/>
      <c r="V866" s="25"/>
    </row>
    <row r="867" spans="1:22" ht="14.25" customHeight="1" x14ac:dyDescent="0.3">
      <c r="A867" s="25"/>
      <c r="U867" s="25"/>
      <c r="V867" s="25"/>
    </row>
    <row r="868" spans="1:22" ht="14.25" customHeight="1" x14ac:dyDescent="0.3">
      <c r="A868" s="25"/>
      <c r="U868" s="25"/>
      <c r="V868" s="25"/>
    </row>
    <row r="869" spans="1:22" ht="14.25" customHeight="1" x14ac:dyDescent="0.3">
      <c r="A869" s="25"/>
      <c r="U869" s="25"/>
      <c r="V869" s="25"/>
    </row>
    <row r="870" spans="1:22" ht="14.25" customHeight="1" x14ac:dyDescent="0.3">
      <c r="A870" s="25"/>
      <c r="U870" s="25"/>
      <c r="V870" s="25"/>
    </row>
    <row r="871" spans="1:22" ht="14.25" customHeight="1" x14ac:dyDescent="0.3">
      <c r="A871" s="25"/>
      <c r="U871" s="25"/>
      <c r="V871" s="25"/>
    </row>
    <row r="872" spans="1:22" ht="14.25" customHeight="1" x14ac:dyDescent="0.3">
      <c r="A872" s="25"/>
      <c r="U872" s="25"/>
      <c r="V872" s="25"/>
    </row>
    <row r="873" spans="1:22" ht="14.25" customHeight="1" x14ac:dyDescent="0.3">
      <c r="A873" s="25"/>
      <c r="U873" s="25"/>
      <c r="V873" s="25"/>
    </row>
    <row r="874" spans="1:22" ht="14.25" customHeight="1" x14ac:dyDescent="0.3">
      <c r="A874" s="25"/>
      <c r="U874" s="25"/>
      <c r="V874" s="25"/>
    </row>
    <row r="875" spans="1:22" ht="14.25" customHeight="1" x14ac:dyDescent="0.3">
      <c r="A875" s="25"/>
      <c r="U875" s="25"/>
      <c r="V875" s="25"/>
    </row>
    <row r="876" spans="1:22" ht="14.25" customHeight="1" x14ac:dyDescent="0.3">
      <c r="A876" s="25"/>
      <c r="U876" s="25"/>
      <c r="V876" s="25"/>
    </row>
    <row r="877" spans="1:22" ht="14.25" customHeight="1" x14ac:dyDescent="0.3">
      <c r="A877" s="25"/>
      <c r="U877" s="25"/>
      <c r="V877" s="25"/>
    </row>
    <row r="878" spans="1:22" ht="14.25" customHeight="1" x14ac:dyDescent="0.3">
      <c r="A878" s="25"/>
      <c r="U878" s="25"/>
      <c r="V878" s="25"/>
    </row>
    <row r="879" spans="1:22" ht="14.25" customHeight="1" x14ac:dyDescent="0.3">
      <c r="A879" s="25"/>
      <c r="U879" s="25"/>
      <c r="V879" s="25"/>
    </row>
    <row r="880" spans="1:22" ht="14.25" customHeight="1" x14ac:dyDescent="0.3">
      <c r="A880" s="25"/>
      <c r="U880" s="25"/>
      <c r="V880" s="25"/>
    </row>
    <row r="881" spans="1:22" ht="14.25" customHeight="1" x14ac:dyDescent="0.3">
      <c r="A881" s="25"/>
      <c r="U881" s="25"/>
      <c r="V881" s="25"/>
    </row>
    <row r="882" spans="1:22" ht="14.25" customHeight="1" x14ac:dyDescent="0.3">
      <c r="A882" s="25"/>
      <c r="U882" s="25"/>
      <c r="V882" s="25"/>
    </row>
    <row r="883" spans="1:22" ht="14.25" customHeight="1" x14ac:dyDescent="0.3">
      <c r="A883" s="25"/>
      <c r="U883" s="25"/>
      <c r="V883" s="25"/>
    </row>
    <row r="884" spans="1:22" ht="14.25" customHeight="1" x14ac:dyDescent="0.3">
      <c r="A884" s="25"/>
      <c r="U884" s="25"/>
      <c r="V884" s="25"/>
    </row>
    <row r="885" spans="1:22" ht="14.25" customHeight="1" x14ac:dyDescent="0.3">
      <c r="A885" s="25"/>
      <c r="U885" s="25"/>
      <c r="V885" s="25"/>
    </row>
    <row r="886" spans="1:22" ht="14.25" customHeight="1" x14ac:dyDescent="0.3">
      <c r="A886" s="25"/>
      <c r="U886" s="25"/>
      <c r="V886" s="25"/>
    </row>
    <row r="887" spans="1:22" ht="14.25" customHeight="1" x14ac:dyDescent="0.3">
      <c r="A887" s="25"/>
      <c r="U887" s="25"/>
      <c r="V887" s="25"/>
    </row>
    <row r="888" spans="1:22" ht="14.25" customHeight="1" x14ac:dyDescent="0.3">
      <c r="A888" s="25"/>
      <c r="U888" s="25"/>
      <c r="V888" s="25"/>
    </row>
    <row r="889" spans="1:22" ht="14.25" customHeight="1" x14ac:dyDescent="0.3">
      <c r="A889" s="25"/>
      <c r="U889" s="25"/>
      <c r="V889" s="25"/>
    </row>
    <row r="890" spans="1:22" ht="14.25" customHeight="1" x14ac:dyDescent="0.3">
      <c r="A890" s="25"/>
      <c r="U890" s="25"/>
      <c r="V890" s="25"/>
    </row>
    <row r="891" spans="1:22" ht="14.25" customHeight="1" x14ac:dyDescent="0.3">
      <c r="A891" s="25"/>
      <c r="U891" s="25"/>
      <c r="V891" s="25"/>
    </row>
    <row r="892" spans="1:22" ht="14.25" customHeight="1" x14ac:dyDescent="0.3">
      <c r="A892" s="25"/>
      <c r="U892" s="25"/>
      <c r="V892" s="25"/>
    </row>
    <row r="893" spans="1:22" ht="14.25" customHeight="1" x14ac:dyDescent="0.3">
      <c r="A893" s="25"/>
      <c r="U893" s="25"/>
      <c r="V893" s="25"/>
    </row>
    <row r="894" spans="1:22" ht="14.25" customHeight="1" x14ac:dyDescent="0.3">
      <c r="A894" s="25"/>
      <c r="U894" s="25"/>
      <c r="V894" s="25"/>
    </row>
    <row r="895" spans="1:22" ht="14.25" customHeight="1" x14ac:dyDescent="0.3">
      <c r="A895" s="25"/>
      <c r="U895" s="25"/>
      <c r="V895" s="25"/>
    </row>
    <row r="896" spans="1:22" ht="14.25" customHeight="1" x14ac:dyDescent="0.3">
      <c r="A896" s="25"/>
      <c r="U896" s="25"/>
      <c r="V896" s="25"/>
    </row>
    <row r="897" spans="1:22" ht="14.25" customHeight="1" x14ac:dyDescent="0.3">
      <c r="A897" s="25"/>
      <c r="U897" s="25"/>
      <c r="V897" s="25"/>
    </row>
    <row r="898" spans="1:22" ht="14.25" customHeight="1" x14ac:dyDescent="0.3">
      <c r="A898" s="25"/>
      <c r="U898" s="25"/>
      <c r="V898" s="25"/>
    </row>
    <row r="899" spans="1:22" ht="14.25" customHeight="1" x14ac:dyDescent="0.3">
      <c r="A899" s="25"/>
      <c r="U899" s="25"/>
      <c r="V899" s="25"/>
    </row>
    <row r="900" spans="1:22" ht="14.25" customHeight="1" x14ac:dyDescent="0.3">
      <c r="A900" s="25"/>
      <c r="U900" s="25"/>
      <c r="V900" s="25"/>
    </row>
    <row r="901" spans="1:22" ht="14.25" customHeight="1" x14ac:dyDescent="0.3">
      <c r="A901" s="25"/>
      <c r="U901" s="25"/>
      <c r="V901" s="25"/>
    </row>
    <row r="902" spans="1:22" ht="14.25" customHeight="1" x14ac:dyDescent="0.3">
      <c r="A902" s="25"/>
      <c r="U902" s="25"/>
      <c r="V902" s="25"/>
    </row>
    <row r="903" spans="1:22" ht="14.25" customHeight="1" x14ac:dyDescent="0.3">
      <c r="A903" s="25"/>
      <c r="U903" s="25"/>
      <c r="V903" s="25"/>
    </row>
    <row r="904" spans="1:22" ht="14.25" customHeight="1" x14ac:dyDescent="0.3">
      <c r="A904" s="25"/>
      <c r="U904" s="25"/>
      <c r="V904" s="25"/>
    </row>
    <row r="905" spans="1:22" ht="14.25" customHeight="1" x14ac:dyDescent="0.3">
      <c r="A905" s="25"/>
      <c r="U905" s="25"/>
      <c r="V905" s="25"/>
    </row>
    <row r="906" spans="1:22" ht="14.25" customHeight="1" x14ac:dyDescent="0.3">
      <c r="A906" s="25"/>
      <c r="U906" s="25"/>
      <c r="V906" s="25"/>
    </row>
    <row r="907" spans="1:22" ht="14.25" customHeight="1" x14ac:dyDescent="0.3">
      <c r="A907" s="25"/>
      <c r="U907" s="25"/>
      <c r="V907" s="25"/>
    </row>
    <row r="908" spans="1:22" ht="14.25" customHeight="1" x14ac:dyDescent="0.3">
      <c r="A908" s="25"/>
      <c r="U908" s="25"/>
      <c r="V908" s="25"/>
    </row>
    <row r="909" spans="1:22" ht="14.25" customHeight="1" x14ac:dyDescent="0.3">
      <c r="A909" s="25"/>
      <c r="U909" s="25"/>
      <c r="V909" s="25"/>
    </row>
    <row r="910" spans="1:22" ht="14.25" customHeight="1" x14ac:dyDescent="0.3">
      <c r="A910" s="25"/>
      <c r="U910" s="25"/>
      <c r="V910" s="25"/>
    </row>
    <row r="911" spans="1:22" ht="14.25" customHeight="1" x14ac:dyDescent="0.3">
      <c r="A911" s="25"/>
      <c r="U911" s="25"/>
      <c r="V911" s="25"/>
    </row>
    <row r="912" spans="1:22" ht="14.25" customHeight="1" x14ac:dyDescent="0.3">
      <c r="A912" s="25"/>
      <c r="U912" s="25"/>
      <c r="V912" s="25"/>
    </row>
    <row r="913" spans="1:22" ht="14.25" customHeight="1" x14ac:dyDescent="0.3">
      <c r="A913" s="25"/>
      <c r="U913" s="25"/>
      <c r="V913" s="25"/>
    </row>
    <row r="914" spans="1:22" ht="14.25" customHeight="1" x14ac:dyDescent="0.3">
      <c r="A914" s="25"/>
      <c r="U914" s="25"/>
      <c r="V914" s="25"/>
    </row>
    <row r="915" spans="1:22" ht="14.25" customHeight="1" x14ac:dyDescent="0.3">
      <c r="A915" s="25"/>
      <c r="U915" s="25"/>
      <c r="V915" s="25"/>
    </row>
    <row r="916" spans="1:22" ht="14.25" customHeight="1" x14ac:dyDescent="0.3">
      <c r="A916" s="25"/>
      <c r="U916" s="25"/>
      <c r="V916" s="25"/>
    </row>
    <row r="917" spans="1:22" ht="14.25" customHeight="1" x14ac:dyDescent="0.3">
      <c r="A917" s="25"/>
      <c r="U917" s="25"/>
      <c r="V917" s="25"/>
    </row>
    <row r="918" spans="1:22" ht="14.25" customHeight="1" x14ac:dyDescent="0.3">
      <c r="A918" s="25"/>
      <c r="U918" s="25"/>
      <c r="V918" s="25"/>
    </row>
    <row r="919" spans="1:22" ht="14.25" customHeight="1" x14ac:dyDescent="0.3">
      <c r="A919" s="25"/>
      <c r="U919" s="25"/>
      <c r="V919" s="25"/>
    </row>
    <row r="920" spans="1:22" ht="14.25" customHeight="1" x14ac:dyDescent="0.3">
      <c r="A920" s="25"/>
      <c r="U920" s="25"/>
      <c r="V920" s="25"/>
    </row>
    <row r="921" spans="1:22" ht="14.25" customHeight="1" x14ac:dyDescent="0.3">
      <c r="A921" s="25"/>
      <c r="U921" s="25"/>
      <c r="V921" s="25"/>
    </row>
    <row r="922" spans="1:22" ht="14.25" customHeight="1" x14ac:dyDescent="0.3">
      <c r="A922" s="25"/>
      <c r="U922" s="25"/>
      <c r="V922" s="25"/>
    </row>
    <row r="923" spans="1:22" ht="14.25" customHeight="1" x14ac:dyDescent="0.3">
      <c r="A923" s="25"/>
      <c r="U923" s="25"/>
      <c r="V923" s="25"/>
    </row>
    <row r="924" spans="1:22" ht="14.25" customHeight="1" x14ac:dyDescent="0.3">
      <c r="A924" s="25"/>
      <c r="U924" s="25"/>
      <c r="V924" s="25"/>
    </row>
    <row r="925" spans="1:22" ht="14.25" customHeight="1" x14ac:dyDescent="0.3">
      <c r="A925" s="25"/>
      <c r="U925" s="25"/>
      <c r="V925" s="25"/>
    </row>
    <row r="926" spans="1:22" ht="14.25" customHeight="1" x14ac:dyDescent="0.3">
      <c r="A926" s="25"/>
      <c r="U926" s="25"/>
      <c r="V926" s="25"/>
    </row>
    <row r="927" spans="1:22" ht="14.25" customHeight="1" x14ac:dyDescent="0.3">
      <c r="A927" s="25"/>
      <c r="U927" s="25"/>
      <c r="V927" s="25"/>
    </row>
    <row r="928" spans="1:22" ht="14.25" customHeight="1" x14ac:dyDescent="0.3">
      <c r="A928" s="25"/>
      <c r="U928" s="25"/>
      <c r="V928" s="25"/>
    </row>
    <row r="929" spans="1:22" ht="14.25" customHeight="1" x14ac:dyDescent="0.3">
      <c r="A929" s="25"/>
      <c r="U929" s="25"/>
      <c r="V929" s="25"/>
    </row>
    <row r="930" spans="1:22" ht="14.25" customHeight="1" x14ac:dyDescent="0.3">
      <c r="A930" s="25"/>
      <c r="U930" s="25"/>
      <c r="V930" s="25"/>
    </row>
    <row r="931" spans="1:22" ht="14.25" customHeight="1" x14ac:dyDescent="0.3">
      <c r="A931" s="25"/>
      <c r="U931" s="25"/>
      <c r="V931" s="25"/>
    </row>
    <row r="932" spans="1:22" ht="14.25" customHeight="1" x14ac:dyDescent="0.3">
      <c r="A932" s="25"/>
      <c r="U932" s="25"/>
      <c r="V932" s="25"/>
    </row>
    <row r="933" spans="1:22" ht="14.25" customHeight="1" x14ac:dyDescent="0.3">
      <c r="A933" s="25"/>
      <c r="U933" s="25"/>
      <c r="V933" s="25"/>
    </row>
    <row r="934" spans="1:22" ht="14.25" customHeight="1" x14ac:dyDescent="0.3">
      <c r="A934" s="25"/>
      <c r="U934" s="25"/>
      <c r="V934" s="25"/>
    </row>
    <row r="935" spans="1:22" ht="14.25" customHeight="1" x14ac:dyDescent="0.3">
      <c r="A935" s="25"/>
      <c r="U935" s="25"/>
      <c r="V935" s="25"/>
    </row>
    <row r="936" spans="1:22" ht="14.25" customHeight="1" x14ac:dyDescent="0.3">
      <c r="A936" s="25"/>
      <c r="U936" s="25"/>
      <c r="V936" s="25"/>
    </row>
    <row r="937" spans="1:22" ht="14.25" customHeight="1" x14ac:dyDescent="0.3">
      <c r="A937" s="25"/>
      <c r="U937" s="25"/>
      <c r="V937" s="25"/>
    </row>
    <row r="938" spans="1:22" ht="14.25" customHeight="1" x14ac:dyDescent="0.3">
      <c r="A938" s="25"/>
      <c r="U938" s="25"/>
      <c r="V938" s="25"/>
    </row>
    <row r="939" spans="1:22" ht="14.25" customHeight="1" x14ac:dyDescent="0.3">
      <c r="A939" s="25"/>
      <c r="U939" s="25"/>
      <c r="V939" s="25"/>
    </row>
    <row r="940" spans="1:22" ht="14.25" customHeight="1" x14ac:dyDescent="0.3">
      <c r="A940" s="25"/>
      <c r="U940" s="25"/>
      <c r="V940" s="25"/>
    </row>
    <row r="941" spans="1:22" ht="14.25" customHeight="1" x14ac:dyDescent="0.3">
      <c r="A941" s="25"/>
      <c r="U941" s="25"/>
      <c r="V941" s="25"/>
    </row>
    <row r="942" spans="1:22" ht="14.25" customHeight="1" x14ac:dyDescent="0.3">
      <c r="A942" s="25"/>
      <c r="U942" s="25"/>
      <c r="V942" s="25"/>
    </row>
    <row r="943" spans="1:22" ht="14.25" customHeight="1" x14ac:dyDescent="0.3">
      <c r="A943" s="25"/>
      <c r="U943" s="25"/>
      <c r="V943" s="25"/>
    </row>
    <row r="944" spans="1:22" ht="14.25" customHeight="1" x14ac:dyDescent="0.3">
      <c r="A944" s="25"/>
      <c r="U944" s="25"/>
      <c r="V944" s="25"/>
    </row>
    <row r="945" spans="1:22" ht="14.25" customHeight="1" x14ac:dyDescent="0.3">
      <c r="A945" s="25"/>
      <c r="U945" s="25"/>
      <c r="V945" s="25"/>
    </row>
    <row r="946" spans="1:22" ht="14.25" customHeight="1" x14ac:dyDescent="0.3">
      <c r="A946" s="25"/>
      <c r="U946" s="25"/>
      <c r="V946" s="25"/>
    </row>
    <row r="947" spans="1:22" ht="14.25" customHeight="1" x14ac:dyDescent="0.3">
      <c r="A947" s="25"/>
      <c r="U947" s="25"/>
      <c r="V947" s="25"/>
    </row>
    <row r="948" spans="1:22" ht="14.25" customHeight="1" x14ac:dyDescent="0.3">
      <c r="A948" s="25"/>
      <c r="U948" s="25"/>
      <c r="V948" s="25"/>
    </row>
    <row r="949" spans="1:22" ht="14.25" customHeight="1" x14ac:dyDescent="0.3">
      <c r="A949" s="25"/>
      <c r="U949" s="25"/>
      <c r="V949" s="25"/>
    </row>
    <row r="950" spans="1:22" ht="14.25" customHeight="1" x14ac:dyDescent="0.3">
      <c r="A950" s="25"/>
      <c r="U950" s="25"/>
      <c r="V950" s="25"/>
    </row>
    <row r="951" spans="1:22" ht="14.25" customHeight="1" x14ac:dyDescent="0.3">
      <c r="A951" s="25"/>
      <c r="U951" s="25"/>
      <c r="V951" s="25"/>
    </row>
    <row r="952" spans="1:22" ht="14.25" customHeight="1" x14ac:dyDescent="0.3">
      <c r="A952" s="25"/>
      <c r="U952" s="25"/>
      <c r="V952" s="25"/>
    </row>
    <row r="953" spans="1:22" ht="14.25" customHeight="1" x14ac:dyDescent="0.3">
      <c r="A953" s="25"/>
      <c r="U953" s="25"/>
      <c r="V953" s="25"/>
    </row>
    <row r="954" spans="1:22" ht="14.25" customHeight="1" x14ac:dyDescent="0.3">
      <c r="A954" s="25"/>
      <c r="U954" s="25"/>
      <c r="V954" s="25"/>
    </row>
    <row r="955" spans="1:22" ht="14.25" customHeight="1" x14ac:dyDescent="0.3">
      <c r="A955" s="25"/>
      <c r="U955" s="25"/>
      <c r="V955" s="25"/>
    </row>
    <row r="956" spans="1:22" ht="14.25" customHeight="1" x14ac:dyDescent="0.3">
      <c r="A956" s="25"/>
      <c r="U956" s="25"/>
      <c r="V956" s="25"/>
    </row>
    <row r="957" spans="1:22" ht="14.25" customHeight="1" x14ac:dyDescent="0.3">
      <c r="A957" s="25"/>
      <c r="U957" s="25"/>
      <c r="V957" s="25"/>
    </row>
    <row r="958" spans="1:22" ht="14.25" customHeight="1" x14ac:dyDescent="0.3">
      <c r="A958" s="25"/>
      <c r="U958" s="25"/>
      <c r="V958" s="25"/>
    </row>
    <row r="959" spans="1:22" ht="14.25" customHeight="1" x14ac:dyDescent="0.3">
      <c r="A959" s="25"/>
      <c r="U959" s="25"/>
      <c r="V959" s="25"/>
    </row>
    <row r="960" spans="1:22" ht="14.25" customHeight="1" x14ac:dyDescent="0.3">
      <c r="A960" s="25"/>
      <c r="U960" s="25"/>
      <c r="V960" s="25"/>
    </row>
    <row r="961" spans="1:22" ht="14.25" customHeight="1" x14ac:dyDescent="0.3">
      <c r="A961" s="25"/>
      <c r="U961" s="25"/>
      <c r="V961" s="25"/>
    </row>
    <row r="962" spans="1:22" ht="14.25" customHeight="1" x14ac:dyDescent="0.3">
      <c r="A962" s="25"/>
      <c r="U962" s="25"/>
      <c r="V962" s="25"/>
    </row>
    <row r="963" spans="1:22" ht="14.25" customHeight="1" x14ac:dyDescent="0.3">
      <c r="A963" s="25"/>
      <c r="U963" s="25"/>
      <c r="V963" s="25"/>
    </row>
    <row r="964" spans="1:22" ht="14.25" customHeight="1" x14ac:dyDescent="0.3">
      <c r="A964" s="25"/>
      <c r="U964" s="25"/>
      <c r="V964" s="25"/>
    </row>
    <row r="965" spans="1:22" ht="14.25" customHeight="1" x14ac:dyDescent="0.3">
      <c r="A965" s="25"/>
      <c r="U965" s="25"/>
      <c r="V965" s="25"/>
    </row>
    <row r="966" spans="1:22" ht="14.25" customHeight="1" x14ac:dyDescent="0.3">
      <c r="A966" s="25"/>
      <c r="U966" s="25"/>
      <c r="V966" s="25"/>
    </row>
    <row r="967" spans="1:22" ht="14.25" customHeight="1" x14ac:dyDescent="0.3">
      <c r="A967" s="25"/>
      <c r="U967" s="25"/>
      <c r="V967" s="25"/>
    </row>
    <row r="968" spans="1:22" ht="14.25" customHeight="1" x14ac:dyDescent="0.3">
      <c r="A968" s="25"/>
      <c r="U968" s="25"/>
      <c r="V968" s="25"/>
    </row>
    <row r="969" spans="1:22" ht="14.25" customHeight="1" x14ac:dyDescent="0.3">
      <c r="A969" s="25"/>
      <c r="U969" s="25"/>
      <c r="V969" s="25"/>
    </row>
    <row r="970" spans="1:22" ht="14.25" customHeight="1" x14ac:dyDescent="0.3">
      <c r="A970" s="25"/>
      <c r="U970" s="25"/>
      <c r="V970" s="25"/>
    </row>
    <row r="971" spans="1:22" ht="14.25" customHeight="1" x14ac:dyDescent="0.3">
      <c r="A971" s="25"/>
      <c r="U971" s="25"/>
      <c r="V971" s="25"/>
    </row>
    <row r="972" spans="1:22" ht="14.25" customHeight="1" x14ac:dyDescent="0.3">
      <c r="A972" s="25"/>
      <c r="U972" s="25"/>
      <c r="V972" s="25"/>
    </row>
    <row r="973" spans="1:22" ht="14.25" customHeight="1" x14ac:dyDescent="0.3">
      <c r="A973" s="25"/>
      <c r="U973" s="25"/>
      <c r="V973" s="25"/>
    </row>
    <row r="974" spans="1:22" ht="14.25" customHeight="1" x14ac:dyDescent="0.3">
      <c r="A974" s="25"/>
      <c r="U974" s="25"/>
      <c r="V974" s="25"/>
    </row>
    <row r="975" spans="1:22" ht="14.25" customHeight="1" x14ac:dyDescent="0.3">
      <c r="A975" s="25"/>
      <c r="U975" s="25"/>
      <c r="V975" s="25"/>
    </row>
    <row r="976" spans="1:22" ht="14.25" customHeight="1" x14ac:dyDescent="0.3">
      <c r="A976" s="25"/>
      <c r="U976" s="25"/>
      <c r="V976" s="25"/>
    </row>
    <row r="977" spans="1:22" ht="14.25" customHeight="1" x14ac:dyDescent="0.3">
      <c r="A977" s="25"/>
      <c r="U977" s="25"/>
      <c r="V977" s="25"/>
    </row>
    <row r="978" spans="1:22" ht="14.25" customHeight="1" x14ac:dyDescent="0.3">
      <c r="A978" s="25"/>
      <c r="U978" s="25"/>
      <c r="V978" s="25"/>
    </row>
    <row r="979" spans="1:22" ht="14.25" customHeight="1" x14ac:dyDescent="0.3">
      <c r="A979" s="25"/>
      <c r="U979" s="25"/>
      <c r="V979" s="25"/>
    </row>
    <row r="980" spans="1:22" ht="14.25" customHeight="1" x14ac:dyDescent="0.3">
      <c r="A980" s="25"/>
      <c r="U980" s="25"/>
      <c r="V980" s="25"/>
    </row>
    <row r="981" spans="1:22" ht="14.25" customHeight="1" x14ac:dyDescent="0.3">
      <c r="A981" s="25"/>
      <c r="U981" s="25"/>
      <c r="V981" s="25"/>
    </row>
    <row r="982" spans="1:22" ht="14.25" customHeight="1" x14ac:dyDescent="0.3">
      <c r="A982" s="25"/>
      <c r="U982" s="25"/>
      <c r="V982" s="25"/>
    </row>
    <row r="983" spans="1:22" ht="14.25" customHeight="1" x14ac:dyDescent="0.3">
      <c r="A983" s="25"/>
      <c r="U983" s="25"/>
      <c r="V983" s="25"/>
    </row>
    <row r="984" spans="1:22" ht="14.25" customHeight="1" x14ac:dyDescent="0.3">
      <c r="A984" s="25"/>
      <c r="U984" s="25"/>
      <c r="V984" s="25"/>
    </row>
    <row r="985" spans="1:22" ht="14.25" customHeight="1" x14ac:dyDescent="0.3">
      <c r="A985" s="25"/>
      <c r="U985" s="25"/>
      <c r="V985" s="25"/>
    </row>
    <row r="986" spans="1:22" ht="14.25" customHeight="1" x14ac:dyDescent="0.3">
      <c r="A986" s="25"/>
      <c r="U986" s="25"/>
      <c r="V986" s="25"/>
    </row>
    <row r="987" spans="1:22" ht="14.25" customHeight="1" x14ac:dyDescent="0.3">
      <c r="A987" s="25"/>
      <c r="U987" s="25"/>
      <c r="V987" s="25"/>
    </row>
    <row r="988" spans="1:22" ht="14.25" customHeight="1" x14ac:dyDescent="0.3">
      <c r="A988" s="25"/>
      <c r="U988" s="25"/>
      <c r="V988" s="25"/>
    </row>
    <row r="989" spans="1:22" ht="14.25" customHeight="1" x14ac:dyDescent="0.3">
      <c r="A989" s="25"/>
      <c r="U989" s="25"/>
      <c r="V989" s="25"/>
    </row>
    <row r="990" spans="1:22" ht="14.25" customHeight="1" x14ac:dyDescent="0.3">
      <c r="A990" s="25"/>
      <c r="U990" s="25"/>
      <c r="V990" s="25"/>
    </row>
    <row r="991" spans="1:22" ht="14.25" customHeight="1" x14ac:dyDescent="0.3">
      <c r="A991" s="25"/>
      <c r="U991" s="25"/>
      <c r="V991" s="25"/>
    </row>
    <row r="992" spans="1:22" ht="14.25" customHeight="1" x14ac:dyDescent="0.3">
      <c r="A992" s="25"/>
      <c r="U992" s="25"/>
      <c r="V992" s="25"/>
    </row>
    <row r="993" spans="1:22" ht="14.25" customHeight="1" x14ac:dyDescent="0.3">
      <c r="A993" s="25"/>
      <c r="U993" s="25"/>
      <c r="V993" s="25"/>
    </row>
    <row r="994" spans="1:22" ht="14.25" customHeight="1" x14ac:dyDescent="0.3">
      <c r="A994" s="25"/>
      <c r="U994" s="25"/>
      <c r="V994" s="25"/>
    </row>
    <row r="995" spans="1:22" ht="14.25" customHeight="1" x14ac:dyDescent="0.3">
      <c r="U995" s="25"/>
      <c r="V995" s="25"/>
    </row>
    <row r="996" spans="1:22" ht="14.25" customHeight="1" x14ac:dyDescent="0.3">
      <c r="U996" s="25"/>
      <c r="V996" s="25"/>
    </row>
    <row r="997" spans="1:22" ht="14.25" customHeight="1" x14ac:dyDescent="0.3">
      <c r="U997" s="25"/>
      <c r="V997" s="25"/>
    </row>
    <row r="998" spans="1:22" ht="14.25" customHeight="1" x14ac:dyDescent="0.3">
      <c r="U998" s="25"/>
      <c r="V998" s="25"/>
    </row>
    <row r="999" spans="1:22" ht="14.25" customHeight="1" x14ac:dyDescent="0.3">
      <c r="U999" s="25"/>
      <c r="V999" s="25"/>
    </row>
  </sheetData>
  <pageMargins left="1" right="1" top="1" bottom="1" header="0" footer="0"/>
  <pageSetup orientation="landscape"/>
  <drawing r:id="rId1"/>
  <tableParts count="17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5" customHeight="1" x14ac:dyDescent="0.3"/>
  <cols>
    <col min="1" max="1" width="21.88671875" customWidth="1"/>
    <col min="2" max="2" width="32.33203125" customWidth="1"/>
    <col min="3" max="3" width="33.44140625" customWidth="1"/>
    <col min="4" max="4" width="11.5546875" customWidth="1"/>
    <col min="5" max="26" width="8.6640625" customWidth="1"/>
  </cols>
  <sheetData>
    <row r="1" spans="1:4" ht="14.25" customHeight="1" x14ac:dyDescent="0.3">
      <c r="A1" s="2"/>
      <c r="B1" s="2" t="s">
        <v>49</v>
      </c>
      <c r="C1" s="2" t="s">
        <v>50</v>
      </c>
      <c r="D1" s="2" t="s">
        <v>51</v>
      </c>
    </row>
    <row r="2" spans="1:4" ht="14.25" customHeight="1" x14ac:dyDescent="0.3">
      <c r="A2" s="3" t="s">
        <v>1</v>
      </c>
      <c r="B2" s="4" t="s">
        <v>52</v>
      </c>
      <c r="C2" s="4" t="s">
        <v>53</v>
      </c>
      <c r="D2" s="3">
        <v>58</v>
      </c>
    </row>
    <row r="3" spans="1:4" ht="14.25" customHeight="1" x14ac:dyDescent="0.3">
      <c r="A3" s="3"/>
      <c r="B3" s="4" t="s">
        <v>54</v>
      </c>
      <c r="C3" s="4" t="s">
        <v>55</v>
      </c>
      <c r="D3" s="3">
        <v>37</v>
      </c>
    </row>
    <row r="4" spans="1:4" ht="14.25" customHeight="1" x14ac:dyDescent="0.3">
      <c r="A4" s="3"/>
      <c r="B4" s="4" t="s">
        <v>56</v>
      </c>
      <c r="C4" s="4" t="s">
        <v>57</v>
      </c>
      <c r="D4" s="3">
        <v>24</v>
      </c>
    </row>
    <row r="5" spans="1:4" ht="14.25" customHeight="1" x14ac:dyDescent="0.3">
      <c r="A5" s="3"/>
      <c r="B5" s="4" t="s">
        <v>58</v>
      </c>
      <c r="C5" s="4" t="s">
        <v>59</v>
      </c>
      <c r="D5" s="3">
        <v>21</v>
      </c>
    </row>
    <row r="6" spans="1:4" ht="14.25" customHeight="1" x14ac:dyDescent="0.3">
      <c r="A6" s="3"/>
      <c r="B6" s="4" t="s">
        <v>60</v>
      </c>
      <c r="C6" s="4" t="s">
        <v>61</v>
      </c>
      <c r="D6" s="3">
        <v>11</v>
      </c>
    </row>
    <row r="7" spans="1:4" ht="14.25" customHeight="1" x14ac:dyDescent="0.3">
      <c r="A7" s="3"/>
      <c r="B7" s="4" t="s">
        <v>62</v>
      </c>
      <c r="C7" s="4" t="s">
        <v>63</v>
      </c>
      <c r="D7" s="3">
        <v>1</v>
      </c>
    </row>
    <row r="8" spans="1:4" ht="14.25" customHeight="1" x14ac:dyDescent="0.3">
      <c r="A8" s="3"/>
      <c r="B8" s="4" t="s">
        <v>64</v>
      </c>
      <c r="C8" s="4" t="s">
        <v>65</v>
      </c>
      <c r="D8" s="3">
        <v>1</v>
      </c>
    </row>
    <row r="9" spans="1:4" ht="14.25" customHeight="1" x14ac:dyDescent="0.3">
      <c r="A9" s="5" t="s">
        <v>2</v>
      </c>
      <c r="B9" s="6" t="s">
        <v>66</v>
      </c>
      <c r="C9" s="6" t="s">
        <v>67</v>
      </c>
      <c r="D9" s="5">
        <v>11</v>
      </c>
    </row>
    <row r="10" spans="1:4" ht="14.25" customHeight="1" x14ac:dyDescent="0.3">
      <c r="A10" s="5"/>
      <c r="B10" s="6" t="s">
        <v>68</v>
      </c>
      <c r="C10" s="6" t="s">
        <v>69</v>
      </c>
      <c r="D10" s="5">
        <v>4</v>
      </c>
    </row>
    <row r="11" spans="1:4" ht="14.25" customHeight="1" x14ac:dyDescent="0.3">
      <c r="A11" s="5"/>
      <c r="B11" s="6" t="s">
        <v>70</v>
      </c>
      <c r="C11" s="6" t="s">
        <v>71</v>
      </c>
      <c r="D11" s="5">
        <v>4</v>
      </c>
    </row>
    <row r="12" spans="1:4" ht="14.25" customHeight="1" x14ac:dyDescent="0.3">
      <c r="A12" s="5"/>
      <c r="B12" s="6" t="s">
        <v>72</v>
      </c>
      <c r="C12" s="6" t="s">
        <v>73</v>
      </c>
      <c r="D12" s="5">
        <v>3</v>
      </c>
    </row>
    <row r="13" spans="1:4" ht="14.25" customHeight="1" x14ac:dyDescent="0.3">
      <c r="A13" s="5"/>
      <c r="B13" s="6" t="s">
        <v>74</v>
      </c>
      <c r="C13" s="6" t="s">
        <v>75</v>
      </c>
      <c r="D13" s="5">
        <v>3</v>
      </c>
    </row>
    <row r="14" spans="1:4" ht="14.25" customHeight="1" x14ac:dyDescent="0.3">
      <c r="A14" s="5"/>
      <c r="B14" s="6" t="s">
        <v>76</v>
      </c>
      <c r="C14" s="6" t="s">
        <v>77</v>
      </c>
      <c r="D14" s="5">
        <v>2</v>
      </c>
    </row>
    <row r="15" spans="1:4" ht="14.25" customHeight="1" x14ac:dyDescent="0.3">
      <c r="A15" s="5"/>
      <c r="B15" s="6" t="s">
        <v>78</v>
      </c>
      <c r="C15" s="6" t="s">
        <v>79</v>
      </c>
      <c r="D15" s="5">
        <v>2</v>
      </c>
    </row>
    <row r="16" spans="1:4" ht="14.25" customHeight="1" x14ac:dyDescent="0.3">
      <c r="A16" s="5"/>
      <c r="B16" s="6" t="s">
        <v>77</v>
      </c>
      <c r="C16" s="6" t="s">
        <v>76</v>
      </c>
      <c r="D16" s="5">
        <v>2</v>
      </c>
    </row>
    <row r="17" spans="1:4" ht="14.25" customHeight="1" x14ac:dyDescent="0.3">
      <c r="A17" s="5"/>
      <c r="B17" s="6" t="s">
        <v>54</v>
      </c>
      <c r="C17" s="6" t="s">
        <v>55</v>
      </c>
      <c r="D17" s="5">
        <v>2</v>
      </c>
    </row>
    <row r="18" spans="1:4" ht="14.25" customHeight="1" x14ac:dyDescent="0.3">
      <c r="A18" s="5"/>
      <c r="B18" s="6" t="s">
        <v>80</v>
      </c>
      <c r="C18" s="6" t="s">
        <v>81</v>
      </c>
      <c r="D18" s="5">
        <v>2</v>
      </c>
    </row>
    <row r="19" spans="1:4" ht="14.25" customHeight="1" x14ac:dyDescent="0.3">
      <c r="A19" s="5"/>
      <c r="B19" s="6" t="s">
        <v>82</v>
      </c>
      <c r="C19" s="6" t="s">
        <v>83</v>
      </c>
      <c r="D19" s="5">
        <v>1</v>
      </c>
    </row>
    <row r="20" spans="1:4" ht="14.25" customHeight="1" x14ac:dyDescent="0.3">
      <c r="A20" s="7" t="s">
        <v>3</v>
      </c>
      <c r="B20" s="8" t="s">
        <v>84</v>
      </c>
      <c r="C20" s="8" t="s">
        <v>85</v>
      </c>
      <c r="D20" s="7">
        <v>7</v>
      </c>
    </row>
    <row r="21" spans="1:4" ht="14.25" customHeight="1" x14ac:dyDescent="0.3">
      <c r="A21" s="7"/>
      <c r="B21" s="8" t="s">
        <v>86</v>
      </c>
      <c r="C21" s="8" t="s">
        <v>87</v>
      </c>
      <c r="D21" s="7">
        <v>5</v>
      </c>
    </row>
    <row r="22" spans="1:4" ht="14.25" customHeight="1" x14ac:dyDescent="0.3">
      <c r="A22" s="7"/>
      <c r="B22" s="8" t="s">
        <v>88</v>
      </c>
      <c r="C22" s="8" t="s">
        <v>89</v>
      </c>
      <c r="D22" s="7">
        <v>3</v>
      </c>
    </row>
    <row r="23" spans="1:4" ht="14.25" customHeight="1" x14ac:dyDescent="0.3">
      <c r="A23" s="9" t="s">
        <v>4</v>
      </c>
      <c r="B23" s="10" t="s">
        <v>90</v>
      </c>
      <c r="C23" s="10" t="s">
        <v>91</v>
      </c>
      <c r="D23" s="9">
        <v>16</v>
      </c>
    </row>
    <row r="24" spans="1:4" ht="14.25" customHeight="1" x14ac:dyDescent="0.3">
      <c r="A24" s="9"/>
      <c r="B24" s="10" t="s">
        <v>92</v>
      </c>
      <c r="C24" s="10" t="s">
        <v>93</v>
      </c>
      <c r="D24" s="9">
        <v>11</v>
      </c>
    </row>
    <row r="25" spans="1:4" ht="14.25" customHeight="1" x14ac:dyDescent="0.3">
      <c r="A25" s="9"/>
      <c r="B25" s="10" t="s">
        <v>92</v>
      </c>
      <c r="C25" s="10" t="s">
        <v>94</v>
      </c>
      <c r="D25" s="9">
        <v>10</v>
      </c>
    </row>
    <row r="26" spans="1:4" ht="14.25" customHeight="1" x14ac:dyDescent="0.3">
      <c r="A26" s="9"/>
      <c r="B26" s="10" t="s">
        <v>95</v>
      </c>
      <c r="C26" s="10" t="s">
        <v>93</v>
      </c>
      <c r="D26" s="9">
        <v>7</v>
      </c>
    </row>
    <row r="27" spans="1:4" ht="14.25" customHeight="1" x14ac:dyDescent="0.3">
      <c r="A27" s="9"/>
      <c r="B27" s="10" t="s">
        <v>96</v>
      </c>
      <c r="C27" s="10" t="s">
        <v>97</v>
      </c>
      <c r="D27" s="9">
        <v>4</v>
      </c>
    </row>
    <row r="28" spans="1:4" ht="14.25" customHeight="1" x14ac:dyDescent="0.3">
      <c r="A28" s="9"/>
      <c r="B28" s="10" t="s">
        <v>98</v>
      </c>
      <c r="C28" s="10" t="s">
        <v>99</v>
      </c>
      <c r="D28" s="9">
        <v>1</v>
      </c>
    </row>
    <row r="29" spans="1:4" ht="14.25" customHeight="1" x14ac:dyDescent="0.3">
      <c r="A29" s="9"/>
      <c r="B29" s="10" t="s">
        <v>100</v>
      </c>
      <c r="C29" s="10" t="s">
        <v>101</v>
      </c>
      <c r="D29" s="9">
        <v>1</v>
      </c>
    </row>
    <row r="30" spans="1:4" ht="14.25" customHeight="1" x14ac:dyDescent="0.3">
      <c r="A30" s="11" t="s">
        <v>5</v>
      </c>
      <c r="B30" s="12" t="s">
        <v>102</v>
      </c>
      <c r="C30" s="12" t="s">
        <v>103</v>
      </c>
      <c r="D30" s="11">
        <v>3</v>
      </c>
    </row>
    <row r="31" spans="1:4" ht="14.25" customHeight="1" x14ac:dyDescent="0.3">
      <c r="A31" s="13" t="s">
        <v>104</v>
      </c>
      <c r="B31" s="14" t="s">
        <v>105</v>
      </c>
      <c r="C31" s="14" t="s">
        <v>105</v>
      </c>
      <c r="D31" s="13">
        <v>0</v>
      </c>
    </row>
    <row r="32" spans="1:4" ht="14.25" customHeight="1" x14ac:dyDescent="0.3">
      <c r="A32" s="15" t="s">
        <v>7</v>
      </c>
      <c r="B32" s="16" t="s">
        <v>84</v>
      </c>
      <c r="C32" s="16" t="s">
        <v>85</v>
      </c>
      <c r="D32" s="15">
        <v>23</v>
      </c>
    </row>
    <row r="33" spans="1:4" ht="14.25" customHeight="1" x14ac:dyDescent="0.3">
      <c r="A33" s="15"/>
      <c r="B33" s="16" t="s">
        <v>106</v>
      </c>
      <c r="C33" s="16" t="s">
        <v>107</v>
      </c>
      <c r="D33" s="15">
        <v>17</v>
      </c>
    </row>
    <row r="34" spans="1:4" ht="14.25" customHeight="1" x14ac:dyDescent="0.3">
      <c r="A34" s="15"/>
      <c r="B34" s="16" t="s">
        <v>54</v>
      </c>
      <c r="C34" s="16" t="s">
        <v>55</v>
      </c>
      <c r="D34" s="15">
        <v>13</v>
      </c>
    </row>
    <row r="35" spans="1:4" ht="14.25" customHeight="1" x14ac:dyDescent="0.3">
      <c r="A35" s="15"/>
      <c r="B35" s="16" t="s">
        <v>70</v>
      </c>
      <c r="C35" s="16" t="s">
        <v>71</v>
      </c>
      <c r="D35" s="15">
        <v>6</v>
      </c>
    </row>
    <row r="36" spans="1:4" ht="14.25" customHeight="1" x14ac:dyDescent="0.3">
      <c r="A36" s="15"/>
      <c r="B36" s="16" t="s">
        <v>82</v>
      </c>
      <c r="C36" s="16" t="s">
        <v>83</v>
      </c>
      <c r="D36" s="15">
        <v>2</v>
      </c>
    </row>
    <row r="37" spans="1:4" ht="14.25" customHeight="1" x14ac:dyDescent="0.3">
      <c r="A37" s="17" t="s">
        <v>108</v>
      </c>
      <c r="B37" s="18" t="s">
        <v>58</v>
      </c>
      <c r="C37" s="18" t="s">
        <v>109</v>
      </c>
      <c r="D37" s="17">
        <v>20</v>
      </c>
    </row>
    <row r="38" spans="1:4" ht="14.25" customHeight="1" x14ac:dyDescent="0.3">
      <c r="A38" s="5" t="s">
        <v>9</v>
      </c>
      <c r="B38" s="6" t="s">
        <v>74</v>
      </c>
      <c r="C38" s="6" t="s">
        <v>110</v>
      </c>
      <c r="D38" s="5">
        <v>15</v>
      </c>
    </row>
    <row r="39" spans="1:4" ht="14.25" customHeight="1" x14ac:dyDescent="0.3">
      <c r="A39" s="5"/>
      <c r="B39" s="6" t="s">
        <v>111</v>
      </c>
      <c r="C39" s="6" t="s">
        <v>112</v>
      </c>
      <c r="D39" s="5">
        <v>8</v>
      </c>
    </row>
    <row r="40" spans="1:4" ht="14.25" customHeight="1" x14ac:dyDescent="0.3">
      <c r="A40" s="5"/>
      <c r="B40" s="6" t="s">
        <v>70</v>
      </c>
      <c r="C40" s="6" t="s">
        <v>71</v>
      </c>
      <c r="D40" s="5">
        <v>4</v>
      </c>
    </row>
    <row r="41" spans="1:4" ht="14.25" customHeight="1" x14ac:dyDescent="0.3">
      <c r="A41" s="5"/>
      <c r="B41" s="6" t="s">
        <v>58</v>
      </c>
      <c r="C41" s="6" t="s">
        <v>59</v>
      </c>
      <c r="D41" s="5">
        <v>3</v>
      </c>
    </row>
    <row r="42" spans="1:4" ht="14.25" customHeight="1" x14ac:dyDescent="0.3">
      <c r="A42" s="5"/>
      <c r="B42" s="6" t="s">
        <v>113</v>
      </c>
      <c r="C42" s="6" t="s">
        <v>114</v>
      </c>
      <c r="D42" s="5">
        <v>3</v>
      </c>
    </row>
    <row r="43" spans="1:4" ht="14.25" customHeight="1" x14ac:dyDescent="0.3">
      <c r="A43" s="5"/>
      <c r="B43" s="6" t="s">
        <v>84</v>
      </c>
      <c r="C43" s="6" t="s">
        <v>85</v>
      </c>
      <c r="D43" s="5">
        <v>3</v>
      </c>
    </row>
    <row r="44" spans="1:4" ht="14.25" customHeight="1" x14ac:dyDescent="0.3">
      <c r="A44" s="5"/>
      <c r="B44" s="6" t="s">
        <v>115</v>
      </c>
      <c r="C44" s="6" t="s">
        <v>116</v>
      </c>
      <c r="D44" s="5">
        <v>3</v>
      </c>
    </row>
    <row r="45" spans="1:4" ht="14.25" customHeight="1" x14ac:dyDescent="0.3">
      <c r="A45" s="5"/>
      <c r="B45" s="6" t="s">
        <v>54</v>
      </c>
      <c r="C45" s="6" t="s">
        <v>55</v>
      </c>
      <c r="D45" s="5">
        <v>2</v>
      </c>
    </row>
    <row r="46" spans="1:4" ht="14.25" customHeight="1" x14ac:dyDescent="0.3">
      <c r="A46" s="5"/>
      <c r="B46" s="6" t="s">
        <v>82</v>
      </c>
      <c r="C46" s="6" t="s">
        <v>83</v>
      </c>
      <c r="D46" s="5">
        <v>1</v>
      </c>
    </row>
    <row r="47" spans="1:4" ht="14.25" customHeight="1" x14ac:dyDescent="0.3">
      <c r="A47" s="5"/>
      <c r="B47" s="6" t="s">
        <v>117</v>
      </c>
      <c r="C47" s="6" t="s">
        <v>118</v>
      </c>
      <c r="D47" s="5">
        <v>1</v>
      </c>
    </row>
    <row r="48" spans="1:4" ht="14.25" customHeight="1" x14ac:dyDescent="0.3">
      <c r="A48" s="5"/>
      <c r="B48" s="6" t="s">
        <v>119</v>
      </c>
      <c r="C48" s="6" t="s">
        <v>120</v>
      </c>
      <c r="D48" s="5">
        <v>1</v>
      </c>
    </row>
    <row r="49" spans="1:4" ht="14.25" customHeight="1" x14ac:dyDescent="0.3">
      <c r="A49" s="5"/>
      <c r="B49" s="6" t="s">
        <v>74</v>
      </c>
      <c r="C49" s="6" t="s">
        <v>121</v>
      </c>
      <c r="D49" s="5">
        <v>1</v>
      </c>
    </row>
    <row r="50" spans="1:4" ht="14.25" customHeight="1" x14ac:dyDescent="0.3">
      <c r="A50" s="19" t="s">
        <v>10</v>
      </c>
      <c r="B50" s="20" t="s">
        <v>122</v>
      </c>
      <c r="C50" s="20" t="s">
        <v>123</v>
      </c>
      <c r="D50" s="19">
        <v>17</v>
      </c>
    </row>
    <row r="51" spans="1:4" ht="14.25" customHeight="1" x14ac:dyDescent="0.3">
      <c r="A51" s="19"/>
      <c r="B51" s="20" t="s">
        <v>124</v>
      </c>
      <c r="C51" s="20" t="s">
        <v>125</v>
      </c>
      <c r="D51" s="19">
        <v>16</v>
      </c>
    </row>
    <row r="52" spans="1:4" ht="14.25" customHeight="1" x14ac:dyDescent="0.3">
      <c r="A52" s="19"/>
      <c r="B52" s="20" t="s">
        <v>92</v>
      </c>
      <c r="C52" s="20" t="s">
        <v>94</v>
      </c>
      <c r="D52" s="19">
        <v>2</v>
      </c>
    </row>
    <row r="53" spans="1:4" ht="14.25" customHeight="1" x14ac:dyDescent="0.3">
      <c r="A53" s="19"/>
      <c r="B53" s="20" t="s">
        <v>126</v>
      </c>
      <c r="C53" s="20" t="s">
        <v>127</v>
      </c>
      <c r="D53" s="19">
        <v>1</v>
      </c>
    </row>
    <row r="54" spans="1:4" ht="14.25" customHeight="1" x14ac:dyDescent="0.3">
      <c r="A54" s="9" t="s">
        <v>11</v>
      </c>
      <c r="B54" s="10" t="s">
        <v>128</v>
      </c>
      <c r="C54" s="10" t="s">
        <v>129</v>
      </c>
      <c r="D54" s="9">
        <v>18</v>
      </c>
    </row>
    <row r="55" spans="1:4" ht="14.25" customHeight="1" x14ac:dyDescent="0.3">
      <c r="A55" s="9"/>
      <c r="B55" s="10" t="s">
        <v>70</v>
      </c>
      <c r="C55" s="10" t="s">
        <v>71</v>
      </c>
      <c r="D55" s="9">
        <v>9</v>
      </c>
    </row>
    <row r="56" spans="1:4" ht="14.25" customHeight="1" x14ac:dyDescent="0.3">
      <c r="A56" s="9"/>
      <c r="B56" s="10" t="s">
        <v>76</v>
      </c>
      <c r="C56" s="10" t="s">
        <v>130</v>
      </c>
      <c r="D56" s="9">
        <v>1</v>
      </c>
    </row>
    <row r="57" spans="1:4" ht="14.25" customHeight="1" x14ac:dyDescent="0.3">
      <c r="A57" s="17" t="s">
        <v>12</v>
      </c>
      <c r="B57" s="18" t="s">
        <v>131</v>
      </c>
      <c r="C57" s="18" t="s">
        <v>132</v>
      </c>
      <c r="D57" s="17">
        <v>9</v>
      </c>
    </row>
    <row r="58" spans="1:4" ht="14.25" customHeight="1" x14ac:dyDescent="0.3">
      <c r="A58" s="17"/>
      <c r="B58" s="18" t="s">
        <v>84</v>
      </c>
      <c r="C58" s="18" t="s">
        <v>85</v>
      </c>
      <c r="D58" s="17">
        <v>4</v>
      </c>
    </row>
    <row r="59" spans="1:4" ht="14.25" customHeight="1" x14ac:dyDescent="0.3">
      <c r="A59" s="17"/>
      <c r="B59" s="18" t="s">
        <v>133</v>
      </c>
      <c r="C59" s="18" t="s">
        <v>134</v>
      </c>
      <c r="D59" s="17">
        <v>2</v>
      </c>
    </row>
    <row r="60" spans="1:4" ht="14.25" customHeight="1" x14ac:dyDescent="0.3">
      <c r="A60" s="21" t="s">
        <v>13</v>
      </c>
      <c r="B60" s="22" t="s">
        <v>135</v>
      </c>
      <c r="C60" s="22" t="s">
        <v>136</v>
      </c>
      <c r="D60" s="21">
        <v>28</v>
      </c>
    </row>
    <row r="61" spans="1:4" ht="14.25" customHeight="1" x14ac:dyDescent="0.3">
      <c r="A61" s="21"/>
      <c r="B61" s="22" t="s">
        <v>137</v>
      </c>
      <c r="C61" s="22" t="s">
        <v>138</v>
      </c>
      <c r="D61" s="21">
        <v>21</v>
      </c>
    </row>
    <row r="62" spans="1:4" ht="14.25" customHeight="1" x14ac:dyDescent="0.3">
      <c r="A62" s="21"/>
      <c r="B62" s="22" t="s">
        <v>139</v>
      </c>
      <c r="C62" s="22" t="s">
        <v>140</v>
      </c>
      <c r="D62" s="21">
        <v>18</v>
      </c>
    </row>
    <row r="63" spans="1:4" ht="14.25" customHeight="1" x14ac:dyDescent="0.3">
      <c r="A63" s="21"/>
      <c r="B63" s="22" t="s">
        <v>141</v>
      </c>
      <c r="C63" s="22" t="s">
        <v>142</v>
      </c>
      <c r="D63" s="21">
        <v>11</v>
      </c>
    </row>
    <row r="64" spans="1:4" ht="14.25" customHeight="1" x14ac:dyDescent="0.3">
      <c r="A64" s="21"/>
      <c r="B64" s="22" t="s">
        <v>143</v>
      </c>
      <c r="C64" s="22" t="s">
        <v>144</v>
      </c>
      <c r="D64" s="21">
        <v>8</v>
      </c>
    </row>
    <row r="65" spans="1:4" ht="14.25" customHeight="1" x14ac:dyDescent="0.3">
      <c r="A65" s="9" t="s">
        <v>14</v>
      </c>
      <c r="B65" s="10" t="s">
        <v>145</v>
      </c>
      <c r="C65" s="10" t="s">
        <v>146</v>
      </c>
      <c r="D65" s="9">
        <v>77</v>
      </c>
    </row>
    <row r="66" spans="1:4" ht="14.25" customHeight="1" x14ac:dyDescent="0.3">
      <c r="A66" s="9"/>
      <c r="B66" s="10" t="s">
        <v>147</v>
      </c>
      <c r="C66" s="10" t="s">
        <v>148</v>
      </c>
      <c r="D66" s="9">
        <v>76</v>
      </c>
    </row>
    <row r="67" spans="1:4" ht="14.25" customHeight="1" x14ac:dyDescent="0.3">
      <c r="A67" s="9"/>
      <c r="B67" s="10" t="s">
        <v>82</v>
      </c>
      <c r="C67" s="10" t="s">
        <v>83</v>
      </c>
      <c r="D67" s="9">
        <v>2</v>
      </c>
    </row>
    <row r="68" spans="1:4" ht="14.25" customHeight="1" x14ac:dyDescent="0.3">
      <c r="A68" s="5" t="s">
        <v>15</v>
      </c>
      <c r="B68" s="6" t="s">
        <v>149</v>
      </c>
      <c r="C68" s="6" t="s">
        <v>150</v>
      </c>
      <c r="D68" s="5">
        <v>8</v>
      </c>
    </row>
    <row r="69" spans="1:4" ht="14.25" customHeight="1" x14ac:dyDescent="0.3">
      <c r="A69" s="17" t="s">
        <v>16</v>
      </c>
      <c r="B69" s="18" t="s">
        <v>66</v>
      </c>
      <c r="C69" s="18" t="s">
        <v>151</v>
      </c>
      <c r="D69" s="17">
        <v>30</v>
      </c>
    </row>
    <row r="70" spans="1:4" ht="14.25" customHeight="1" x14ac:dyDescent="0.3">
      <c r="A70" s="17"/>
      <c r="B70" s="18" t="s">
        <v>66</v>
      </c>
      <c r="C70" s="18" t="s">
        <v>67</v>
      </c>
      <c r="D70" s="17">
        <v>17</v>
      </c>
    </row>
    <row r="71" spans="1:4" ht="14.25" customHeight="1" x14ac:dyDescent="0.3">
      <c r="A71" s="17"/>
      <c r="B71" s="18" t="s">
        <v>152</v>
      </c>
      <c r="C71" s="18" t="s">
        <v>153</v>
      </c>
      <c r="D71" s="17">
        <v>15</v>
      </c>
    </row>
    <row r="72" spans="1:4" ht="14.25" customHeight="1" x14ac:dyDescent="0.3">
      <c r="A72" s="17"/>
      <c r="B72" s="18" t="s">
        <v>70</v>
      </c>
      <c r="C72" s="18" t="s">
        <v>71</v>
      </c>
      <c r="D72" s="17">
        <v>12</v>
      </c>
    </row>
    <row r="73" spans="1:4" ht="14.25" customHeight="1" x14ac:dyDescent="0.3">
      <c r="A73" s="17"/>
      <c r="B73" s="18" t="s">
        <v>66</v>
      </c>
      <c r="C73" s="18" t="s">
        <v>154</v>
      </c>
      <c r="D73" s="17">
        <v>8</v>
      </c>
    </row>
    <row r="74" spans="1:4" ht="14.25" customHeight="1" x14ac:dyDescent="0.3">
      <c r="A74" s="17"/>
      <c r="B74" s="18" t="s">
        <v>82</v>
      </c>
      <c r="C74" s="18" t="s">
        <v>83</v>
      </c>
      <c r="D74" s="17">
        <v>7</v>
      </c>
    </row>
    <row r="75" spans="1:4" ht="14.25" customHeight="1" x14ac:dyDescent="0.3">
      <c r="A75" s="17"/>
      <c r="B75" s="18" t="s">
        <v>72</v>
      </c>
      <c r="C75" s="18" t="s">
        <v>73</v>
      </c>
      <c r="D75" s="17">
        <v>4</v>
      </c>
    </row>
    <row r="76" spans="1:4" ht="14.25" customHeight="1" x14ac:dyDescent="0.3">
      <c r="A76" s="17"/>
      <c r="B76" s="18" t="s">
        <v>74</v>
      </c>
      <c r="C76" s="18" t="s">
        <v>121</v>
      </c>
      <c r="D76" s="17">
        <v>2</v>
      </c>
    </row>
    <row r="77" spans="1:4" ht="14.25" customHeight="1" x14ac:dyDescent="0.3">
      <c r="A77" s="17"/>
      <c r="B77" s="18" t="s">
        <v>155</v>
      </c>
      <c r="C77" s="18" t="s">
        <v>156</v>
      </c>
      <c r="D77" s="17">
        <v>2</v>
      </c>
    </row>
    <row r="78" spans="1:4" ht="14.25" customHeight="1" x14ac:dyDescent="0.3">
      <c r="A78" s="17"/>
      <c r="B78" s="18" t="s">
        <v>84</v>
      </c>
      <c r="C78" s="18" t="s">
        <v>85</v>
      </c>
      <c r="D78" s="17">
        <v>2</v>
      </c>
    </row>
    <row r="79" spans="1:4" ht="14.25" customHeight="1" x14ac:dyDescent="0.3">
      <c r="A79" s="17"/>
      <c r="B79" s="18" t="s">
        <v>76</v>
      </c>
      <c r="C79" s="18" t="s">
        <v>77</v>
      </c>
      <c r="D79" s="17">
        <v>2</v>
      </c>
    </row>
    <row r="80" spans="1:4" ht="14.25" customHeight="1" x14ac:dyDescent="0.3">
      <c r="A80" s="17"/>
      <c r="B80" s="18" t="s">
        <v>110</v>
      </c>
      <c r="C80" s="18" t="s">
        <v>157</v>
      </c>
      <c r="D80" s="17">
        <v>1</v>
      </c>
    </row>
    <row r="81" spans="1:4" ht="14.25" customHeight="1" x14ac:dyDescent="0.3">
      <c r="A81" s="17"/>
      <c r="B81" s="18" t="s">
        <v>158</v>
      </c>
      <c r="C81" s="18" t="s">
        <v>159</v>
      </c>
      <c r="D81" s="17">
        <v>1</v>
      </c>
    </row>
    <row r="82" spans="1:4" ht="14.25" customHeight="1" x14ac:dyDescent="0.3">
      <c r="A82" s="17"/>
      <c r="B82" s="18" t="s">
        <v>160</v>
      </c>
      <c r="C82" s="18" t="s">
        <v>161</v>
      </c>
      <c r="D82" s="17">
        <v>1</v>
      </c>
    </row>
    <row r="83" spans="1:4" ht="14.25" customHeight="1" x14ac:dyDescent="0.3">
      <c r="A83" s="21" t="s">
        <v>17</v>
      </c>
      <c r="B83" s="22" t="s">
        <v>162</v>
      </c>
      <c r="C83" s="22" t="s">
        <v>163</v>
      </c>
      <c r="D83" s="21">
        <v>17</v>
      </c>
    </row>
    <row r="84" spans="1:4" ht="14.25" customHeight="1" x14ac:dyDescent="0.3">
      <c r="A84" s="21"/>
      <c r="B84" s="22" t="s">
        <v>164</v>
      </c>
      <c r="C84" s="22" t="s">
        <v>165</v>
      </c>
      <c r="D84" s="21">
        <v>12</v>
      </c>
    </row>
    <row r="85" spans="1:4" ht="14.25" customHeight="1" x14ac:dyDescent="0.3">
      <c r="A85" s="5" t="s">
        <v>18</v>
      </c>
      <c r="B85" s="6" t="s">
        <v>160</v>
      </c>
      <c r="C85" s="6" t="s">
        <v>161</v>
      </c>
      <c r="D85" s="5">
        <v>29</v>
      </c>
    </row>
    <row r="86" spans="1:4" ht="14.25" customHeight="1" x14ac:dyDescent="0.3">
      <c r="A86" s="5"/>
      <c r="B86" s="6" t="s">
        <v>166</v>
      </c>
      <c r="C86" s="6" t="s">
        <v>167</v>
      </c>
      <c r="D86" s="5">
        <v>24</v>
      </c>
    </row>
    <row r="87" spans="1:4" ht="14.25" customHeight="1" x14ac:dyDescent="0.3">
      <c r="A87" s="5"/>
      <c r="B87" s="6" t="s">
        <v>168</v>
      </c>
      <c r="C87" s="6" t="s">
        <v>169</v>
      </c>
      <c r="D87" s="5">
        <v>18</v>
      </c>
    </row>
    <row r="88" spans="1:4" ht="14.25" customHeight="1" x14ac:dyDescent="0.3">
      <c r="A88" s="5"/>
      <c r="B88" s="6" t="s">
        <v>150</v>
      </c>
      <c r="C88" s="6" t="s">
        <v>170</v>
      </c>
      <c r="D88" s="5">
        <v>4</v>
      </c>
    </row>
    <row r="89" spans="1:4" ht="14.25" customHeight="1" x14ac:dyDescent="0.3">
      <c r="A89" s="5"/>
      <c r="B89" s="6" t="s">
        <v>70</v>
      </c>
      <c r="C89" s="6" t="s">
        <v>71</v>
      </c>
      <c r="D89" s="5">
        <v>2</v>
      </c>
    </row>
    <row r="90" spans="1:4" ht="14.25" customHeight="1" x14ac:dyDescent="0.3">
      <c r="A90" s="5"/>
      <c r="B90" s="6" t="s">
        <v>54</v>
      </c>
      <c r="C90" s="6" t="s">
        <v>55</v>
      </c>
      <c r="D90" s="5">
        <v>2</v>
      </c>
    </row>
    <row r="91" spans="1:4" ht="14.25" customHeight="1" x14ac:dyDescent="0.3">
      <c r="A91" s="5"/>
      <c r="B91" s="6" t="s">
        <v>72</v>
      </c>
      <c r="C91" s="6" t="s">
        <v>73</v>
      </c>
      <c r="D91" s="5">
        <v>2</v>
      </c>
    </row>
    <row r="92" spans="1:4" ht="14.25" customHeight="1" x14ac:dyDescent="0.3">
      <c r="A92" s="23" t="s">
        <v>19</v>
      </c>
      <c r="B92" s="24" t="s">
        <v>145</v>
      </c>
      <c r="C92" s="24" t="s">
        <v>146</v>
      </c>
      <c r="D92" s="23">
        <v>8</v>
      </c>
    </row>
    <row r="93" spans="1:4" ht="14.25" customHeight="1" x14ac:dyDescent="0.3">
      <c r="A93" s="23"/>
      <c r="B93" s="24" t="s">
        <v>145</v>
      </c>
      <c r="C93" s="24" t="s">
        <v>171</v>
      </c>
      <c r="D93" s="23">
        <v>1</v>
      </c>
    </row>
    <row r="94" spans="1:4" ht="14.25" customHeight="1" x14ac:dyDescent="0.3">
      <c r="A94" s="23"/>
      <c r="B94" s="24" t="s">
        <v>145</v>
      </c>
      <c r="C94" s="24" t="s">
        <v>172</v>
      </c>
      <c r="D94" s="23">
        <v>1</v>
      </c>
    </row>
    <row r="95" spans="1:4" ht="14.25" customHeight="1" x14ac:dyDescent="0.3">
      <c r="A95" s="7" t="s">
        <v>20</v>
      </c>
      <c r="B95" s="8"/>
      <c r="C95" s="8"/>
      <c r="D95" s="7">
        <f>SUM(D2:D94)</f>
        <v>935</v>
      </c>
    </row>
    <row r="96" spans="1:4" ht="14.25" customHeight="1" x14ac:dyDescent="0.3">
      <c r="A96" s="1"/>
      <c r="D96" s="1"/>
    </row>
    <row r="97" spans="1:4" ht="14.25" customHeight="1" x14ac:dyDescent="0.3">
      <c r="A97" s="1"/>
      <c r="D97" s="1"/>
    </row>
    <row r="98" spans="1:4" ht="14.25" customHeight="1" x14ac:dyDescent="0.3">
      <c r="A98" s="1"/>
      <c r="D98" s="1"/>
    </row>
    <row r="99" spans="1:4" ht="14.25" customHeight="1" x14ac:dyDescent="0.3">
      <c r="A99" s="1"/>
      <c r="D99" s="1"/>
    </row>
    <row r="100" spans="1:4" ht="14.25" customHeight="1" x14ac:dyDescent="0.3">
      <c r="A100" s="1"/>
      <c r="D100" s="1"/>
    </row>
    <row r="101" spans="1:4" ht="14.25" customHeight="1" x14ac:dyDescent="0.3">
      <c r="A101" s="1"/>
      <c r="D101" s="1"/>
    </row>
    <row r="102" spans="1:4" ht="14.25" customHeight="1" x14ac:dyDescent="0.3">
      <c r="A102" s="1"/>
      <c r="D102" s="1"/>
    </row>
    <row r="103" spans="1:4" ht="14.25" customHeight="1" x14ac:dyDescent="0.3">
      <c r="A103" s="1"/>
      <c r="D103" s="1"/>
    </row>
    <row r="104" spans="1:4" ht="14.25" customHeight="1" x14ac:dyDescent="0.3">
      <c r="A104" s="1"/>
      <c r="D104" s="1"/>
    </row>
    <row r="105" spans="1:4" ht="14.25" customHeight="1" x14ac:dyDescent="0.3">
      <c r="A105" s="1"/>
      <c r="D105" s="1"/>
    </row>
    <row r="106" spans="1:4" ht="14.25" customHeight="1" x14ac:dyDescent="0.3">
      <c r="A106" s="1"/>
      <c r="D106" s="1"/>
    </row>
    <row r="107" spans="1:4" ht="14.25" customHeight="1" x14ac:dyDescent="0.3">
      <c r="A107" s="1"/>
      <c r="D107" s="1"/>
    </row>
    <row r="108" spans="1:4" ht="14.25" customHeight="1" x14ac:dyDescent="0.3">
      <c r="A108" s="1"/>
      <c r="D108" s="1"/>
    </row>
    <row r="109" spans="1:4" ht="14.25" customHeight="1" x14ac:dyDescent="0.3">
      <c r="A109" s="1"/>
      <c r="D109" s="1"/>
    </row>
    <row r="110" spans="1:4" ht="14.25" customHeight="1" x14ac:dyDescent="0.3">
      <c r="A110" s="1"/>
      <c r="D110" s="1"/>
    </row>
    <row r="111" spans="1:4" ht="14.25" customHeight="1" x14ac:dyDescent="0.3">
      <c r="A111" s="1"/>
      <c r="D111" s="1"/>
    </row>
    <row r="112" spans="1:4" ht="14.25" customHeight="1" x14ac:dyDescent="0.3">
      <c r="A112" s="1"/>
      <c r="D112" s="1"/>
    </row>
    <row r="113" spans="1:4" ht="14.25" customHeight="1" x14ac:dyDescent="0.3">
      <c r="A113" s="1"/>
      <c r="D113" s="1"/>
    </row>
    <row r="114" spans="1:4" ht="14.25" customHeight="1" x14ac:dyDescent="0.3">
      <c r="A114" s="1"/>
      <c r="D114" s="1"/>
    </row>
    <row r="115" spans="1:4" ht="14.25" customHeight="1" x14ac:dyDescent="0.3">
      <c r="A115" s="1"/>
      <c r="D115" s="1"/>
    </row>
    <row r="116" spans="1:4" ht="14.25" customHeight="1" x14ac:dyDescent="0.3">
      <c r="A116" s="1"/>
      <c r="D116" s="1"/>
    </row>
    <row r="117" spans="1:4" ht="14.25" customHeight="1" x14ac:dyDescent="0.3">
      <c r="A117" s="1"/>
      <c r="D117" s="1"/>
    </row>
    <row r="118" spans="1:4" ht="14.25" customHeight="1" x14ac:dyDescent="0.3">
      <c r="A118" s="1"/>
      <c r="D118" s="1"/>
    </row>
    <row r="119" spans="1:4" ht="14.25" customHeight="1" x14ac:dyDescent="0.3">
      <c r="A119" s="1"/>
      <c r="D119" s="1"/>
    </row>
    <row r="120" spans="1:4" ht="14.25" customHeight="1" x14ac:dyDescent="0.3">
      <c r="A120" s="1"/>
      <c r="D120" s="1"/>
    </row>
    <row r="121" spans="1:4" ht="14.25" customHeight="1" x14ac:dyDescent="0.3">
      <c r="A121" s="1"/>
      <c r="D121" s="1"/>
    </row>
    <row r="122" spans="1:4" ht="14.25" customHeight="1" x14ac:dyDescent="0.3">
      <c r="A122" s="1"/>
      <c r="D122" s="1"/>
    </row>
    <row r="123" spans="1:4" ht="14.25" customHeight="1" x14ac:dyDescent="0.3">
      <c r="A123" s="1"/>
      <c r="D123" s="1"/>
    </row>
    <row r="124" spans="1:4" ht="14.25" customHeight="1" x14ac:dyDescent="0.3">
      <c r="A124" s="1"/>
      <c r="D124" s="1"/>
    </row>
    <row r="125" spans="1:4" ht="14.25" customHeight="1" x14ac:dyDescent="0.3">
      <c r="A125" s="1"/>
      <c r="D125" s="1"/>
    </row>
    <row r="126" spans="1:4" ht="14.25" customHeight="1" x14ac:dyDescent="0.3">
      <c r="A126" s="1"/>
      <c r="D126" s="1"/>
    </row>
    <row r="127" spans="1:4" ht="14.25" customHeight="1" x14ac:dyDescent="0.3">
      <c r="A127" s="1"/>
      <c r="D127" s="1"/>
    </row>
    <row r="128" spans="1:4" ht="14.25" customHeight="1" x14ac:dyDescent="0.3">
      <c r="A128" s="1"/>
      <c r="D128" s="1"/>
    </row>
    <row r="129" spans="1:4" ht="14.25" customHeight="1" x14ac:dyDescent="0.3">
      <c r="A129" s="1"/>
      <c r="D129" s="1"/>
    </row>
    <row r="130" spans="1:4" ht="14.25" customHeight="1" x14ac:dyDescent="0.3">
      <c r="A130" s="1"/>
      <c r="D130" s="1"/>
    </row>
    <row r="131" spans="1:4" ht="14.25" customHeight="1" x14ac:dyDescent="0.3">
      <c r="A131" s="1"/>
      <c r="D131" s="1"/>
    </row>
    <row r="132" spans="1:4" ht="14.25" customHeight="1" x14ac:dyDescent="0.3">
      <c r="A132" s="1"/>
      <c r="D132" s="1"/>
    </row>
    <row r="133" spans="1:4" ht="14.25" customHeight="1" x14ac:dyDescent="0.3">
      <c r="A133" s="1"/>
      <c r="D133" s="1"/>
    </row>
    <row r="134" spans="1:4" ht="14.25" customHeight="1" x14ac:dyDescent="0.3">
      <c r="A134" s="1"/>
      <c r="D134" s="1"/>
    </row>
    <row r="135" spans="1:4" ht="14.25" customHeight="1" x14ac:dyDescent="0.3">
      <c r="A135" s="1"/>
      <c r="D135" s="1"/>
    </row>
    <row r="136" spans="1:4" ht="14.25" customHeight="1" x14ac:dyDescent="0.3">
      <c r="A136" s="1"/>
      <c r="D136" s="1"/>
    </row>
    <row r="137" spans="1:4" ht="14.25" customHeight="1" x14ac:dyDescent="0.3">
      <c r="A137" s="1"/>
      <c r="D137" s="1"/>
    </row>
    <row r="138" spans="1:4" ht="14.25" customHeight="1" x14ac:dyDescent="0.3">
      <c r="A138" s="1"/>
      <c r="D138" s="1"/>
    </row>
    <row r="139" spans="1:4" ht="14.25" customHeight="1" x14ac:dyDescent="0.3">
      <c r="A139" s="1"/>
      <c r="D139" s="1"/>
    </row>
    <row r="140" spans="1:4" ht="14.25" customHeight="1" x14ac:dyDescent="0.3">
      <c r="A140" s="1"/>
      <c r="D140" s="1"/>
    </row>
    <row r="141" spans="1:4" ht="14.25" customHeight="1" x14ac:dyDescent="0.3">
      <c r="A141" s="1"/>
      <c r="D141" s="1"/>
    </row>
    <row r="142" spans="1:4" ht="14.25" customHeight="1" x14ac:dyDescent="0.3">
      <c r="A142" s="1"/>
      <c r="D142" s="1"/>
    </row>
    <row r="143" spans="1:4" ht="14.25" customHeight="1" x14ac:dyDescent="0.3">
      <c r="A143" s="1"/>
      <c r="D143" s="1"/>
    </row>
    <row r="144" spans="1:4" ht="14.25" customHeight="1" x14ac:dyDescent="0.3">
      <c r="A144" s="1"/>
      <c r="D144" s="1"/>
    </row>
    <row r="145" spans="1:4" ht="14.25" customHeight="1" x14ac:dyDescent="0.3">
      <c r="A145" s="1"/>
      <c r="D145" s="1"/>
    </row>
    <row r="146" spans="1:4" ht="14.25" customHeight="1" x14ac:dyDescent="0.3">
      <c r="A146" s="1"/>
      <c r="D146" s="1"/>
    </row>
    <row r="147" spans="1:4" ht="14.25" customHeight="1" x14ac:dyDescent="0.3">
      <c r="A147" s="1"/>
      <c r="D147" s="1"/>
    </row>
    <row r="148" spans="1:4" ht="14.25" customHeight="1" x14ac:dyDescent="0.3">
      <c r="A148" s="1"/>
      <c r="D148" s="1"/>
    </row>
    <row r="149" spans="1:4" ht="14.25" customHeight="1" x14ac:dyDescent="0.3">
      <c r="A149" s="1"/>
      <c r="D149" s="1"/>
    </row>
    <row r="150" spans="1:4" ht="14.25" customHeight="1" x14ac:dyDescent="0.3">
      <c r="A150" s="1"/>
      <c r="D150" s="1"/>
    </row>
    <row r="151" spans="1:4" ht="14.25" customHeight="1" x14ac:dyDescent="0.3">
      <c r="A151" s="1"/>
      <c r="D151" s="1"/>
    </row>
    <row r="152" spans="1:4" ht="14.25" customHeight="1" x14ac:dyDescent="0.3">
      <c r="A152" s="1"/>
      <c r="D152" s="1"/>
    </row>
    <row r="153" spans="1:4" ht="14.25" customHeight="1" x14ac:dyDescent="0.3">
      <c r="A153" s="1"/>
      <c r="D153" s="1"/>
    </row>
    <row r="154" spans="1:4" ht="14.25" customHeight="1" x14ac:dyDescent="0.3">
      <c r="A154" s="1"/>
      <c r="D154" s="1"/>
    </row>
    <row r="155" spans="1:4" ht="14.25" customHeight="1" x14ac:dyDescent="0.3">
      <c r="A155" s="1"/>
      <c r="D155" s="1"/>
    </row>
    <row r="156" spans="1:4" ht="14.25" customHeight="1" x14ac:dyDescent="0.3">
      <c r="A156" s="1"/>
      <c r="D156" s="1"/>
    </row>
    <row r="157" spans="1:4" ht="14.25" customHeight="1" x14ac:dyDescent="0.3">
      <c r="A157" s="1"/>
      <c r="D157" s="1"/>
    </row>
    <row r="158" spans="1:4" ht="14.25" customHeight="1" x14ac:dyDescent="0.3">
      <c r="A158" s="1"/>
      <c r="D158" s="1"/>
    </row>
    <row r="159" spans="1:4" ht="14.25" customHeight="1" x14ac:dyDescent="0.3">
      <c r="A159" s="1"/>
      <c r="D159" s="1"/>
    </row>
    <row r="160" spans="1:4" ht="14.25" customHeight="1" x14ac:dyDescent="0.3">
      <c r="A160" s="1"/>
      <c r="D160" s="1"/>
    </row>
    <row r="161" spans="1:4" ht="14.25" customHeight="1" x14ac:dyDescent="0.3">
      <c r="A161" s="1"/>
      <c r="D161" s="1"/>
    </row>
    <row r="162" spans="1:4" ht="14.25" customHeight="1" x14ac:dyDescent="0.3">
      <c r="A162" s="1"/>
      <c r="D162" s="1"/>
    </row>
    <row r="163" spans="1:4" ht="14.25" customHeight="1" x14ac:dyDescent="0.3">
      <c r="A163" s="1"/>
      <c r="D163" s="1"/>
    </row>
    <row r="164" spans="1:4" ht="14.25" customHeight="1" x14ac:dyDescent="0.3">
      <c r="A164" s="1"/>
      <c r="D164" s="1"/>
    </row>
    <row r="165" spans="1:4" ht="14.25" customHeight="1" x14ac:dyDescent="0.3">
      <c r="A165" s="1"/>
      <c r="D165" s="1"/>
    </row>
    <row r="166" spans="1:4" ht="14.25" customHeight="1" x14ac:dyDescent="0.3">
      <c r="A166" s="1"/>
      <c r="D166" s="1"/>
    </row>
    <row r="167" spans="1:4" ht="14.25" customHeight="1" x14ac:dyDescent="0.3">
      <c r="A167" s="1"/>
      <c r="D167" s="1"/>
    </row>
    <row r="168" spans="1:4" ht="14.25" customHeight="1" x14ac:dyDescent="0.3">
      <c r="A168" s="1"/>
      <c r="D168" s="1"/>
    </row>
    <row r="169" spans="1:4" ht="14.25" customHeight="1" x14ac:dyDescent="0.3">
      <c r="A169" s="1"/>
      <c r="D169" s="1"/>
    </row>
    <row r="170" spans="1:4" ht="14.25" customHeight="1" x14ac:dyDescent="0.3">
      <c r="A170" s="1"/>
      <c r="D170" s="1"/>
    </row>
    <row r="171" spans="1:4" ht="14.25" customHeight="1" x14ac:dyDescent="0.3">
      <c r="A171" s="1"/>
      <c r="D171" s="1"/>
    </row>
    <row r="172" spans="1:4" ht="14.25" customHeight="1" x14ac:dyDescent="0.3">
      <c r="A172" s="1"/>
      <c r="D172" s="1"/>
    </row>
    <row r="173" spans="1:4" ht="14.25" customHeight="1" x14ac:dyDescent="0.3">
      <c r="A173" s="1"/>
      <c r="D173" s="1"/>
    </row>
    <row r="174" spans="1:4" ht="14.25" customHeight="1" x14ac:dyDescent="0.3">
      <c r="A174" s="1"/>
      <c r="D174" s="1"/>
    </row>
    <row r="175" spans="1:4" ht="14.25" customHeight="1" x14ac:dyDescent="0.3">
      <c r="A175" s="1"/>
      <c r="D175" s="1"/>
    </row>
    <row r="176" spans="1:4" ht="14.25" customHeight="1" x14ac:dyDescent="0.3">
      <c r="A176" s="1"/>
      <c r="D176" s="1"/>
    </row>
    <row r="177" spans="1:4" ht="14.25" customHeight="1" x14ac:dyDescent="0.3">
      <c r="A177" s="1"/>
      <c r="D177" s="1"/>
    </row>
    <row r="178" spans="1:4" ht="14.25" customHeight="1" x14ac:dyDescent="0.3">
      <c r="A178" s="1"/>
      <c r="D178" s="1"/>
    </row>
    <row r="179" spans="1:4" ht="14.25" customHeight="1" x14ac:dyDescent="0.3">
      <c r="A179" s="1"/>
      <c r="D179" s="1"/>
    </row>
    <row r="180" spans="1:4" ht="14.25" customHeight="1" x14ac:dyDescent="0.3">
      <c r="A180" s="1"/>
      <c r="D180" s="1"/>
    </row>
    <row r="181" spans="1:4" ht="14.25" customHeight="1" x14ac:dyDescent="0.3">
      <c r="A181" s="1"/>
      <c r="D181" s="1"/>
    </row>
    <row r="182" spans="1:4" ht="14.25" customHeight="1" x14ac:dyDescent="0.3">
      <c r="A182" s="1"/>
      <c r="D182" s="1"/>
    </row>
    <row r="183" spans="1:4" ht="14.25" customHeight="1" x14ac:dyDescent="0.3">
      <c r="A183" s="1"/>
      <c r="D183" s="1"/>
    </row>
    <row r="184" spans="1:4" ht="14.25" customHeight="1" x14ac:dyDescent="0.3">
      <c r="A184" s="1"/>
      <c r="D184" s="1"/>
    </row>
    <row r="185" spans="1:4" ht="14.25" customHeight="1" x14ac:dyDescent="0.3">
      <c r="A185" s="1"/>
      <c r="D185" s="1"/>
    </row>
    <row r="186" spans="1:4" ht="14.25" customHeight="1" x14ac:dyDescent="0.3">
      <c r="A186" s="1"/>
      <c r="D186" s="1"/>
    </row>
    <row r="187" spans="1:4" ht="14.25" customHeight="1" x14ac:dyDescent="0.3">
      <c r="A187" s="1"/>
      <c r="D187" s="1"/>
    </row>
    <row r="188" spans="1:4" ht="14.25" customHeight="1" x14ac:dyDescent="0.3">
      <c r="A188" s="1"/>
      <c r="D188" s="1"/>
    </row>
    <row r="189" spans="1:4" ht="14.25" customHeight="1" x14ac:dyDescent="0.3">
      <c r="A189" s="1"/>
      <c r="D189" s="1"/>
    </row>
    <row r="190" spans="1:4" ht="14.25" customHeight="1" x14ac:dyDescent="0.3">
      <c r="A190" s="1"/>
      <c r="D190" s="1"/>
    </row>
    <row r="191" spans="1:4" ht="14.25" customHeight="1" x14ac:dyDescent="0.3">
      <c r="A191" s="1"/>
      <c r="D191" s="1"/>
    </row>
    <row r="192" spans="1:4" ht="14.25" customHeight="1" x14ac:dyDescent="0.3">
      <c r="A192" s="1"/>
      <c r="D192" s="1"/>
    </row>
    <row r="193" spans="1:4" ht="14.25" customHeight="1" x14ac:dyDescent="0.3">
      <c r="A193" s="1"/>
      <c r="D193" s="1"/>
    </row>
    <row r="194" spans="1:4" ht="14.25" customHeight="1" x14ac:dyDescent="0.3">
      <c r="A194" s="1"/>
      <c r="D194" s="1"/>
    </row>
    <row r="195" spans="1:4" ht="14.25" customHeight="1" x14ac:dyDescent="0.3">
      <c r="A195" s="1"/>
      <c r="D195" s="1"/>
    </row>
    <row r="196" spans="1:4" ht="14.25" customHeight="1" x14ac:dyDescent="0.3">
      <c r="A196" s="1"/>
      <c r="D196" s="1"/>
    </row>
    <row r="197" spans="1:4" ht="14.25" customHeight="1" x14ac:dyDescent="0.3">
      <c r="A197" s="1"/>
      <c r="D197" s="1"/>
    </row>
    <row r="198" spans="1:4" ht="14.25" customHeight="1" x14ac:dyDescent="0.3">
      <c r="A198" s="1"/>
      <c r="D198" s="1"/>
    </row>
    <row r="199" spans="1:4" ht="14.25" customHeight="1" x14ac:dyDescent="0.3">
      <c r="A199" s="1"/>
      <c r="D199" s="1"/>
    </row>
    <row r="200" spans="1:4" ht="14.25" customHeight="1" x14ac:dyDescent="0.3">
      <c r="A200" s="1"/>
      <c r="D200" s="1"/>
    </row>
    <row r="201" spans="1:4" ht="14.25" customHeight="1" x14ac:dyDescent="0.3">
      <c r="A201" s="1"/>
      <c r="D201" s="1"/>
    </row>
    <row r="202" spans="1:4" ht="14.25" customHeight="1" x14ac:dyDescent="0.3">
      <c r="A202" s="1"/>
      <c r="D202" s="1"/>
    </row>
    <row r="203" spans="1:4" ht="14.25" customHeight="1" x14ac:dyDescent="0.3">
      <c r="A203" s="1"/>
      <c r="D203" s="1"/>
    </row>
    <row r="204" spans="1:4" ht="14.25" customHeight="1" x14ac:dyDescent="0.3">
      <c r="A204" s="1"/>
      <c r="D204" s="1"/>
    </row>
    <row r="205" spans="1:4" ht="14.25" customHeight="1" x14ac:dyDescent="0.3">
      <c r="A205" s="1"/>
      <c r="D205" s="1"/>
    </row>
    <row r="206" spans="1:4" ht="14.25" customHeight="1" x14ac:dyDescent="0.3">
      <c r="A206" s="1"/>
      <c r="D206" s="1"/>
    </row>
    <row r="207" spans="1:4" ht="14.25" customHeight="1" x14ac:dyDescent="0.3">
      <c r="A207" s="1"/>
      <c r="D207" s="1"/>
    </row>
    <row r="208" spans="1:4" ht="14.25" customHeight="1" x14ac:dyDescent="0.3">
      <c r="A208" s="1"/>
      <c r="D208" s="1"/>
    </row>
    <row r="209" spans="1:4" ht="14.25" customHeight="1" x14ac:dyDescent="0.3">
      <c r="A209" s="1"/>
      <c r="D209" s="1"/>
    </row>
    <row r="210" spans="1:4" ht="14.25" customHeight="1" x14ac:dyDescent="0.3">
      <c r="A210" s="1"/>
      <c r="D210" s="1"/>
    </row>
    <row r="211" spans="1:4" ht="14.25" customHeight="1" x14ac:dyDescent="0.3">
      <c r="A211" s="1"/>
      <c r="D211" s="1"/>
    </row>
    <row r="212" spans="1:4" ht="14.25" customHeight="1" x14ac:dyDescent="0.3">
      <c r="A212" s="1"/>
      <c r="D212" s="1"/>
    </row>
    <row r="213" spans="1:4" ht="14.25" customHeight="1" x14ac:dyDescent="0.3">
      <c r="A213" s="1"/>
      <c r="D213" s="1"/>
    </row>
    <row r="214" spans="1:4" ht="14.25" customHeight="1" x14ac:dyDescent="0.3">
      <c r="A214" s="1"/>
      <c r="D214" s="1"/>
    </row>
    <row r="215" spans="1:4" ht="14.25" customHeight="1" x14ac:dyDescent="0.3">
      <c r="A215" s="1"/>
      <c r="D215" s="1"/>
    </row>
    <row r="216" spans="1:4" ht="14.25" customHeight="1" x14ac:dyDescent="0.3">
      <c r="A216" s="1"/>
      <c r="D216" s="1"/>
    </row>
    <row r="217" spans="1:4" ht="14.25" customHeight="1" x14ac:dyDescent="0.3">
      <c r="A217" s="1"/>
      <c r="D217" s="1"/>
    </row>
    <row r="218" spans="1:4" ht="14.25" customHeight="1" x14ac:dyDescent="0.3">
      <c r="A218" s="1"/>
      <c r="D218" s="1"/>
    </row>
    <row r="219" spans="1:4" ht="14.25" customHeight="1" x14ac:dyDescent="0.3">
      <c r="A219" s="1"/>
      <c r="D219" s="1"/>
    </row>
    <row r="220" spans="1:4" ht="14.25" customHeight="1" x14ac:dyDescent="0.3">
      <c r="A220" s="1"/>
      <c r="D220" s="1"/>
    </row>
    <row r="221" spans="1:4" ht="14.25" customHeight="1" x14ac:dyDescent="0.3">
      <c r="A221" s="1"/>
      <c r="D221" s="1"/>
    </row>
    <row r="222" spans="1:4" ht="14.25" customHeight="1" x14ac:dyDescent="0.3">
      <c r="A222" s="1"/>
      <c r="D222" s="1"/>
    </row>
    <row r="223" spans="1:4" ht="14.25" customHeight="1" x14ac:dyDescent="0.3">
      <c r="A223" s="1"/>
      <c r="D223" s="1"/>
    </row>
    <row r="224" spans="1:4" ht="14.25" customHeight="1" x14ac:dyDescent="0.3">
      <c r="A224" s="1"/>
      <c r="D224" s="1"/>
    </row>
    <row r="225" spans="1:4" ht="14.25" customHeight="1" x14ac:dyDescent="0.3">
      <c r="A225" s="1"/>
      <c r="D225" s="1"/>
    </row>
    <row r="226" spans="1:4" ht="14.25" customHeight="1" x14ac:dyDescent="0.3">
      <c r="A226" s="1"/>
      <c r="D226" s="1"/>
    </row>
    <row r="227" spans="1:4" ht="14.25" customHeight="1" x14ac:dyDescent="0.3">
      <c r="A227" s="1"/>
      <c r="D227" s="1"/>
    </row>
    <row r="228" spans="1:4" ht="14.25" customHeight="1" x14ac:dyDescent="0.3">
      <c r="A228" s="1"/>
      <c r="D228" s="1"/>
    </row>
    <row r="229" spans="1:4" ht="14.25" customHeight="1" x14ac:dyDescent="0.3">
      <c r="A229" s="1"/>
      <c r="D229" s="1"/>
    </row>
    <row r="230" spans="1:4" ht="14.25" customHeight="1" x14ac:dyDescent="0.3">
      <c r="A230" s="1"/>
      <c r="D230" s="1"/>
    </row>
    <row r="231" spans="1:4" ht="14.25" customHeight="1" x14ac:dyDescent="0.3">
      <c r="A231" s="1"/>
      <c r="D231" s="1"/>
    </row>
    <row r="232" spans="1:4" ht="14.25" customHeight="1" x14ac:dyDescent="0.3">
      <c r="A232" s="1"/>
      <c r="D232" s="1"/>
    </row>
    <row r="233" spans="1:4" ht="14.25" customHeight="1" x14ac:dyDescent="0.3">
      <c r="A233" s="1"/>
      <c r="D233" s="1"/>
    </row>
    <row r="234" spans="1:4" ht="14.25" customHeight="1" x14ac:dyDescent="0.3">
      <c r="A234" s="1"/>
      <c r="D234" s="1"/>
    </row>
    <row r="235" spans="1:4" ht="14.25" customHeight="1" x14ac:dyDescent="0.3">
      <c r="A235" s="1"/>
      <c r="D235" s="1"/>
    </row>
    <row r="236" spans="1:4" ht="14.25" customHeight="1" x14ac:dyDescent="0.3">
      <c r="A236" s="1"/>
      <c r="D236" s="1"/>
    </row>
    <row r="237" spans="1:4" ht="14.25" customHeight="1" x14ac:dyDescent="0.3">
      <c r="A237" s="1"/>
      <c r="D237" s="1"/>
    </row>
    <row r="238" spans="1:4" ht="14.25" customHeight="1" x14ac:dyDescent="0.3">
      <c r="A238" s="1"/>
      <c r="D238" s="1"/>
    </row>
    <row r="239" spans="1:4" ht="14.25" customHeight="1" x14ac:dyDescent="0.3">
      <c r="A239" s="1"/>
      <c r="D239" s="1"/>
    </row>
    <row r="240" spans="1:4" ht="14.25" customHeight="1" x14ac:dyDescent="0.3">
      <c r="A240" s="1"/>
      <c r="D240" s="1"/>
    </row>
    <row r="241" spans="1:4" ht="14.25" customHeight="1" x14ac:dyDescent="0.3">
      <c r="A241" s="1"/>
      <c r="D241" s="1"/>
    </row>
    <row r="242" spans="1:4" ht="14.25" customHeight="1" x14ac:dyDescent="0.3">
      <c r="A242" s="1"/>
      <c r="D242" s="1"/>
    </row>
    <row r="243" spans="1:4" ht="14.25" customHeight="1" x14ac:dyDescent="0.3">
      <c r="A243" s="1"/>
      <c r="D243" s="1"/>
    </row>
    <row r="244" spans="1:4" ht="14.25" customHeight="1" x14ac:dyDescent="0.3">
      <c r="A244" s="1"/>
      <c r="D244" s="1"/>
    </row>
    <row r="245" spans="1:4" ht="14.25" customHeight="1" x14ac:dyDescent="0.3">
      <c r="A245" s="1"/>
      <c r="D245" s="1"/>
    </row>
    <row r="246" spans="1:4" ht="14.25" customHeight="1" x14ac:dyDescent="0.3">
      <c r="A246" s="1"/>
      <c r="D246" s="1"/>
    </row>
    <row r="247" spans="1:4" ht="14.25" customHeight="1" x14ac:dyDescent="0.3">
      <c r="A247" s="1"/>
      <c r="D247" s="1"/>
    </row>
    <row r="248" spans="1:4" ht="14.25" customHeight="1" x14ac:dyDescent="0.3">
      <c r="A248" s="1"/>
      <c r="D248" s="1"/>
    </row>
    <row r="249" spans="1:4" ht="14.25" customHeight="1" x14ac:dyDescent="0.3">
      <c r="A249" s="1"/>
      <c r="D249" s="1"/>
    </row>
    <row r="250" spans="1:4" ht="14.25" customHeight="1" x14ac:dyDescent="0.3">
      <c r="A250" s="1"/>
      <c r="D250" s="1"/>
    </row>
    <row r="251" spans="1:4" ht="14.25" customHeight="1" x14ac:dyDescent="0.3">
      <c r="A251" s="1"/>
      <c r="D251" s="1"/>
    </row>
    <row r="252" spans="1:4" ht="14.25" customHeight="1" x14ac:dyDescent="0.3">
      <c r="A252" s="1"/>
      <c r="D252" s="1"/>
    </row>
    <row r="253" spans="1:4" ht="14.25" customHeight="1" x14ac:dyDescent="0.3">
      <c r="A253" s="1"/>
      <c r="D253" s="1"/>
    </row>
    <row r="254" spans="1:4" ht="14.25" customHeight="1" x14ac:dyDescent="0.3">
      <c r="A254" s="1"/>
      <c r="D254" s="1"/>
    </row>
    <row r="255" spans="1:4" ht="14.25" customHeight="1" x14ac:dyDescent="0.3">
      <c r="A255" s="1"/>
      <c r="D255" s="1"/>
    </row>
    <row r="256" spans="1:4" ht="14.25" customHeight="1" x14ac:dyDescent="0.3">
      <c r="A256" s="1"/>
      <c r="D256" s="1"/>
    </row>
    <row r="257" spans="1:4" ht="14.25" customHeight="1" x14ac:dyDescent="0.3">
      <c r="A257" s="1"/>
      <c r="D257" s="1"/>
    </row>
    <row r="258" spans="1:4" ht="14.25" customHeight="1" x14ac:dyDescent="0.3">
      <c r="A258" s="1"/>
      <c r="D258" s="1"/>
    </row>
    <row r="259" spans="1:4" ht="14.25" customHeight="1" x14ac:dyDescent="0.3">
      <c r="A259" s="1"/>
      <c r="D259" s="1"/>
    </row>
    <row r="260" spans="1:4" ht="14.25" customHeight="1" x14ac:dyDescent="0.3">
      <c r="A260" s="1"/>
      <c r="D260" s="1"/>
    </row>
    <row r="261" spans="1:4" ht="14.25" customHeight="1" x14ac:dyDescent="0.3">
      <c r="A261" s="1"/>
      <c r="D261" s="1"/>
    </row>
    <row r="262" spans="1:4" ht="14.25" customHeight="1" x14ac:dyDescent="0.3">
      <c r="A262" s="1"/>
      <c r="D262" s="1"/>
    </row>
    <row r="263" spans="1:4" ht="14.25" customHeight="1" x14ac:dyDescent="0.3">
      <c r="A263" s="1"/>
      <c r="D263" s="1"/>
    </row>
    <row r="264" spans="1:4" ht="14.25" customHeight="1" x14ac:dyDescent="0.3">
      <c r="A264" s="1"/>
      <c r="D264" s="1"/>
    </row>
    <row r="265" spans="1:4" ht="14.25" customHeight="1" x14ac:dyDescent="0.3">
      <c r="A265" s="1"/>
      <c r="D265" s="1"/>
    </row>
    <row r="266" spans="1:4" ht="14.25" customHeight="1" x14ac:dyDescent="0.3">
      <c r="A266" s="1"/>
      <c r="D266" s="1"/>
    </row>
    <row r="267" spans="1:4" ht="14.25" customHeight="1" x14ac:dyDescent="0.3">
      <c r="A267" s="1"/>
      <c r="D267" s="1"/>
    </row>
    <row r="268" spans="1:4" ht="14.25" customHeight="1" x14ac:dyDescent="0.3">
      <c r="A268" s="1"/>
      <c r="D268" s="1"/>
    </row>
    <row r="269" spans="1:4" ht="14.25" customHeight="1" x14ac:dyDescent="0.3">
      <c r="A269" s="1"/>
      <c r="D269" s="1"/>
    </row>
    <row r="270" spans="1:4" ht="14.25" customHeight="1" x14ac:dyDescent="0.3">
      <c r="A270" s="1"/>
      <c r="D270" s="1"/>
    </row>
    <row r="271" spans="1:4" ht="14.25" customHeight="1" x14ac:dyDescent="0.3">
      <c r="A271" s="1"/>
      <c r="D271" s="1"/>
    </row>
    <row r="272" spans="1:4" ht="14.25" customHeight="1" x14ac:dyDescent="0.3">
      <c r="A272" s="1"/>
      <c r="D272" s="1"/>
    </row>
    <row r="273" spans="1:4" ht="14.25" customHeight="1" x14ac:dyDescent="0.3">
      <c r="A273" s="1"/>
      <c r="D273" s="1"/>
    </row>
    <row r="274" spans="1:4" ht="14.25" customHeight="1" x14ac:dyDescent="0.3">
      <c r="A274" s="1"/>
      <c r="D274" s="1"/>
    </row>
    <row r="275" spans="1:4" ht="14.25" customHeight="1" x14ac:dyDescent="0.3">
      <c r="A275" s="1"/>
      <c r="D275" s="1"/>
    </row>
    <row r="276" spans="1:4" ht="14.25" customHeight="1" x14ac:dyDescent="0.3">
      <c r="A276" s="1"/>
      <c r="D276" s="1"/>
    </row>
    <row r="277" spans="1:4" ht="14.25" customHeight="1" x14ac:dyDescent="0.3">
      <c r="A277" s="1"/>
      <c r="D277" s="1"/>
    </row>
    <row r="278" spans="1:4" ht="14.25" customHeight="1" x14ac:dyDescent="0.3">
      <c r="A278" s="1"/>
      <c r="D278" s="1"/>
    </row>
    <row r="279" spans="1:4" ht="14.25" customHeight="1" x14ac:dyDescent="0.3">
      <c r="A279" s="1"/>
      <c r="D279" s="1"/>
    </row>
    <row r="280" spans="1:4" ht="14.25" customHeight="1" x14ac:dyDescent="0.3">
      <c r="A280" s="1"/>
      <c r="D280" s="1"/>
    </row>
    <row r="281" spans="1:4" ht="14.25" customHeight="1" x14ac:dyDescent="0.3">
      <c r="A281" s="1"/>
      <c r="D281" s="1"/>
    </row>
    <row r="282" spans="1:4" ht="14.25" customHeight="1" x14ac:dyDescent="0.3">
      <c r="A282" s="1"/>
      <c r="D282" s="1"/>
    </row>
    <row r="283" spans="1:4" ht="14.25" customHeight="1" x14ac:dyDescent="0.3">
      <c r="A283" s="1"/>
      <c r="D283" s="1"/>
    </row>
    <row r="284" spans="1:4" ht="14.25" customHeight="1" x14ac:dyDescent="0.3">
      <c r="A284" s="1"/>
      <c r="D284" s="1"/>
    </row>
    <row r="285" spans="1:4" ht="14.25" customHeight="1" x14ac:dyDescent="0.3">
      <c r="A285" s="1"/>
      <c r="D285" s="1"/>
    </row>
    <row r="286" spans="1:4" ht="14.25" customHeight="1" x14ac:dyDescent="0.3">
      <c r="A286" s="1"/>
      <c r="D286" s="1"/>
    </row>
    <row r="287" spans="1:4" ht="14.25" customHeight="1" x14ac:dyDescent="0.3">
      <c r="A287" s="1"/>
      <c r="D287" s="1"/>
    </row>
    <row r="288" spans="1:4" ht="14.25" customHeight="1" x14ac:dyDescent="0.3">
      <c r="A288" s="1"/>
      <c r="D288" s="1"/>
    </row>
    <row r="289" spans="1:4" ht="14.25" customHeight="1" x14ac:dyDescent="0.3">
      <c r="A289" s="1"/>
      <c r="D289" s="1"/>
    </row>
    <row r="290" spans="1:4" ht="14.25" customHeight="1" x14ac:dyDescent="0.3">
      <c r="A290" s="1"/>
      <c r="D290" s="1"/>
    </row>
    <row r="291" spans="1:4" ht="14.25" customHeight="1" x14ac:dyDescent="0.3">
      <c r="A291" s="1"/>
      <c r="D291" s="1"/>
    </row>
    <row r="292" spans="1:4" ht="14.25" customHeight="1" x14ac:dyDescent="0.3">
      <c r="A292" s="1"/>
      <c r="D292" s="1"/>
    </row>
    <row r="293" spans="1:4" ht="14.25" customHeight="1" x14ac:dyDescent="0.3">
      <c r="A293" s="1"/>
      <c r="D293" s="1"/>
    </row>
    <row r="294" spans="1:4" ht="14.25" customHeight="1" x14ac:dyDescent="0.3">
      <c r="A294" s="1"/>
      <c r="D294" s="1"/>
    </row>
    <row r="295" spans="1:4" ht="14.25" customHeight="1" x14ac:dyDescent="0.3">
      <c r="A295" s="1"/>
      <c r="D295" s="1"/>
    </row>
    <row r="296" spans="1:4" ht="14.25" customHeight="1" x14ac:dyDescent="0.3">
      <c r="A296" s="1"/>
      <c r="D296" s="1"/>
    </row>
    <row r="297" spans="1:4" ht="14.25" customHeight="1" x14ac:dyDescent="0.3">
      <c r="A297" s="1"/>
      <c r="D297" s="1"/>
    </row>
    <row r="298" spans="1:4" ht="14.25" customHeight="1" x14ac:dyDescent="0.3">
      <c r="A298" s="1"/>
      <c r="D298" s="1"/>
    </row>
    <row r="299" spans="1:4" ht="14.25" customHeight="1" x14ac:dyDescent="0.3">
      <c r="A299" s="1"/>
      <c r="D299" s="1"/>
    </row>
    <row r="300" spans="1:4" ht="14.25" customHeight="1" x14ac:dyDescent="0.3">
      <c r="A300" s="1"/>
      <c r="D300" s="1"/>
    </row>
    <row r="301" spans="1:4" ht="14.25" customHeight="1" x14ac:dyDescent="0.3">
      <c r="A301" s="1"/>
      <c r="D301" s="1"/>
    </row>
    <row r="302" spans="1:4" ht="14.25" customHeight="1" x14ac:dyDescent="0.3">
      <c r="A302" s="1"/>
      <c r="D302" s="1"/>
    </row>
    <row r="303" spans="1:4" ht="14.25" customHeight="1" x14ac:dyDescent="0.3">
      <c r="A303" s="1"/>
      <c r="D303" s="1"/>
    </row>
    <row r="304" spans="1:4" ht="14.25" customHeight="1" x14ac:dyDescent="0.3">
      <c r="A304" s="1"/>
      <c r="D304" s="1"/>
    </row>
    <row r="305" spans="1:4" ht="14.25" customHeight="1" x14ac:dyDescent="0.3">
      <c r="A305" s="1"/>
      <c r="D305" s="1"/>
    </row>
    <row r="306" spans="1:4" ht="14.25" customHeight="1" x14ac:dyDescent="0.3">
      <c r="A306" s="1"/>
      <c r="D306" s="1"/>
    </row>
    <row r="307" spans="1:4" ht="14.25" customHeight="1" x14ac:dyDescent="0.3">
      <c r="A307" s="1"/>
      <c r="D307" s="1"/>
    </row>
    <row r="308" spans="1:4" ht="14.25" customHeight="1" x14ac:dyDescent="0.3">
      <c r="A308" s="1"/>
      <c r="D308" s="1"/>
    </row>
    <row r="309" spans="1:4" ht="14.25" customHeight="1" x14ac:dyDescent="0.3">
      <c r="A309" s="1"/>
      <c r="D309" s="1"/>
    </row>
    <row r="310" spans="1:4" ht="14.25" customHeight="1" x14ac:dyDescent="0.3">
      <c r="A310" s="1"/>
      <c r="D310" s="1"/>
    </row>
    <row r="311" spans="1:4" ht="14.25" customHeight="1" x14ac:dyDescent="0.3">
      <c r="A311" s="1"/>
      <c r="D311" s="1"/>
    </row>
    <row r="312" spans="1:4" ht="14.25" customHeight="1" x14ac:dyDescent="0.3">
      <c r="A312" s="1"/>
      <c r="D312" s="1"/>
    </row>
    <row r="313" spans="1:4" ht="14.25" customHeight="1" x14ac:dyDescent="0.3">
      <c r="A313" s="1"/>
      <c r="D313" s="1"/>
    </row>
    <row r="314" spans="1:4" ht="14.25" customHeight="1" x14ac:dyDescent="0.3">
      <c r="A314" s="1"/>
      <c r="D314" s="1"/>
    </row>
    <row r="315" spans="1:4" ht="14.25" customHeight="1" x14ac:dyDescent="0.3">
      <c r="A315" s="1"/>
      <c r="D315" s="1"/>
    </row>
    <row r="316" spans="1:4" ht="14.25" customHeight="1" x14ac:dyDescent="0.3">
      <c r="A316" s="1"/>
      <c r="D316" s="1"/>
    </row>
    <row r="317" spans="1:4" ht="14.25" customHeight="1" x14ac:dyDescent="0.3">
      <c r="A317" s="1"/>
      <c r="D317" s="1"/>
    </row>
    <row r="318" spans="1:4" ht="14.25" customHeight="1" x14ac:dyDescent="0.3">
      <c r="A318" s="1"/>
      <c r="D318" s="1"/>
    </row>
    <row r="319" spans="1:4" ht="14.25" customHeight="1" x14ac:dyDescent="0.3">
      <c r="A319" s="1"/>
      <c r="D319" s="1"/>
    </row>
    <row r="320" spans="1:4" ht="14.25" customHeight="1" x14ac:dyDescent="0.3">
      <c r="A320" s="1"/>
      <c r="D320" s="1"/>
    </row>
    <row r="321" spans="1:4" ht="14.25" customHeight="1" x14ac:dyDescent="0.3">
      <c r="A321" s="1"/>
      <c r="D321" s="1"/>
    </row>
    <row r="322" spans="1:4" ht="14.25" customHeight="1" x14ac:dyDescent="0.3">
      <c r="A322" s="1"/>
      <c r="D322" s="1"/>
    </row>
    <row r="323" spans="1:4" ht="14.25" customHeight="1" x14ac:dyDescent="0.3">
      <c r="A323" s="1"/>
      <c r="D323" s="1"/>
    </row>
    <row r="324" spans="1:4" ht="14.25" customHeight="1" x14ac:dyDescent="0.3">
      <c r="A324" s="1"/>
      <c r="D324" s="1"/>
    </row>
    <row r="325" spans="1:4" ht="14.25" customHeight="1" x14ac:dyDescent="0.3">
      <c r="A325" s="1"/>
      <c r="D325" s="1"/>
    </row>
    <row r="326" spans="1:4" ht="14.25" customHeight="1" x14ac:dyDescent="0.3">
      <c r="A326" s="1"/>
      <c r="D326" s="1"/>
    </row>
    <row r="327" spans="1:4" ht="14.25" customHeight="1" x14ac:dyDescent="0.3">
      <c r="A327" s="1"/>
      <c r="D327" s="1"/>
    </row>
    <row r="328" spans="1:4" ht="14.25" customHeight="1" x14ac:dyDescent="0.3">
      <c r="A328" s="1"/>
      <c r="D328" s="1"/>
    </row>
    <row r="329" spans="1:4" ht="14.25" customHeight="1" x14ac:dyDescent="0.3">
      <c r="A329" s="1"/>
      <c r="D329" s="1"/>
    </row>
    <row r="330" spans="1:4" ht="14.25" customHeight="1" x14ac:dyDescent="0.3">
      <c r="A330" s="1"/>
      <c r="D330" s="1"/>
    </row>
    <row r="331" spans="1:4" ht="14.25" customHeight="1" x14ac:dyDescent="0.3">
      <c r="A331" s="1"/>
      <c r="D331" s="1"/>
    </row>
    <row r="332" spans="1:4" ht="14.25" customHeight="1" x14ac:dyDescent="0.3">
      <c r="A332" s="1"/>
      <c r="D332" s="1"/>
    </row>
    <row r="333" spans="1:4" ht="14.25" customHeight="1" x14ac:dyDescent="0.3">
      <c r="A333" s="1"/>
      <c r="D333" s="1"/>
    </row>
    <row r="334" spans="1:4" ht="14.25" customHeight="1" x14ac:dyDescent="0.3">
      <c r="A334" s="1"/>
      <c r="D334" s="1"/>
    </row>
    <row r="335" spans="1:4" ht="14.25" customHeight="1" x14ac:dyDescent="0.3">
      <c r="A335" s="1"/>
      <c r="D335" s="1"/>
    </row>
    <row r="336" spans="1:4" ht="14.25" customHeight="1" x14ac:dyDescent="0.3">
      <c r="A336" s="1"/>
      <c r="D336" s="1"/>
    </row>
    <row r="337" spans="1:4" ht="14.25" customHeight="1" x14ac:dyDescent="0.3">
      <c r="A337" s="1"/>
      <c r="D337" s="1"/>
    </row>
    <row r="338" spans="1:4" ht="14.25" customHeight="1" x14ac:dyDescent="0.3">
      <c r="A338" s="1"/>
      <c r="D338" s="1"/>
    </row>
    <row r="339" spans="1:4" ht="14.25" customHeight="1" x14ac:dyDescent="0.3">
      <c r="A339" s="1"/>
      <c r="D339" s="1"/>
    </row>
    <row r="340" spans="1:4" ht="14.25" customHeight="1" x14ac:dyDescent="0.3">
      <c r="A340" s="1"/>
      <c r="D340" s="1"/>
    </row>
    <row r="341" spans="1:4" ht="14.25" customHeight="1" x14ac:dyDescent="0.3">
      <c r="A341" s="1"/>
      <c r="D341" s="1"/>
    </row>
    <row r="342" spans="1:4" ht="14.25" customHeight="1" x14ac:dyDescent="0.3">
      <c r="A342" s="1"/>
      <c r="D342" s="1"/>
    </row>
    <row r="343" spans="1:4" ht="14.25" customHeight="1" x14ac:dyDescent="0.3">
      <c r="A343" s="1"/>
      <c r="D343" s="1"/>
    </row>
    <row r="344" spans="1:4" ht="14.25" customHeight="1" x14ac:dyDescent="0.3">
      <c r="A344" s="1"/>
      <c r="D344" s="1"/>
    </row>
    <row r="345" spans="1:4" ht="14.25" customHeight="1" x14ac:dyDescent="0.3">
      <c r="A345" s="1"/>
      <c r="D345" s="1"/>
    </row>
    <row r="346" spans="1:4" ht="14.25" customHeight="1" x14ac:dyDescent="0.3">
      <c r="A346" s="1"/>
      <c r="D346" s="1"/>
    </row>
    <row r="347" spans="1:4" ht="14.25" customHeight="1" x14ac:dyDescent="0.3">
      <c r="A347" s="1"/>
      <c r="D347" s="1"/>
    </row>
    <row r="348" spans="1:4" ht="14.25" customHeight="1" x14ac:dyDescent="0.3">
      <c r="A348" s="1"/>
      <c r="D348" s="1"/>
    </row>
    <row r="349" spans="1:4" ht="14.25" customHeight="1" x14ac:dyDescent="0.3">
      <c r="A349" s="1"/>
      <c r="D349" s="1"/>
    </row>
    <row r="350" spans="1:4" ht="14.25" customHeight="1" x14ac:dyDescent="0.3">
      <c r="A350" s="1"/>
      <c r="D350" s="1"/>
    </row>
    <row r="351" spans="1:4" ht="14.25" customHeight="1" x14ac:dyDescent="0.3">
      <c r="A351" s="1"/>
      <c r="D351" s="1"/>
    </row>
    <row r="352" spans="1:4" ht="14.25" customHeight="1" x14ac:dyDescent="0.3">
      <c r="A352" s="1"/>
      <c r="D352" s="1"/>
    </row>
    <row r="353" spans="1:4" ht="14.25" customHeight="1" x14ac:dyDescent="0.3">
      <c r="A353" s="1"/>
      <c r="D353" s="1"/>
    </row>
    <row r="354" spans="1:4" ht="14.25" customHeight="1" x14ac:dyDescent="0.3">
      <c r="A354" s="1"/>
      <c r="D354" s="1"/>
    </row>
    <row r="355" spans="1:4" ht="14.25" customHeight="1" x14ac:dyDescent="0.3">
      <c r="A355" s="1"/>
      <c r="D355" s="1"/>
    </row>
    <row r="356" spans="1:4" ht="14.25" customHeight="1" x14ac:dyDescent="0.3">
      <c r="A356" s="1"/>
      <c r="D356" s="1"/>
    </row>
    <row r="357" spans="1:4" ht="14.25" customHeight="1" x14ac:dyDescent="0.3">
      <c r="A357" s="1"/>
      <c r="D357" s="1"/>
    </row>
    <row r="358" spans="1:4" ht="14.25" customHeight="1" x14ac:dyDescent="0.3">
      <c r="A358" s="1"/>
      <c r="D358" s="1"/>
    </row>
    <row r="359" spans="1:4" ht="14.25" customHeight="1" x14ac:dyDescent="0.3">
      <c r="A359" s="1"/>
      <c r="D359" s="1"/>
    </row>
    <row r="360" spans="1:4" ht="14.25" customHeight="1" x14ac:dyDescent="0.3">
      <c r="A360" s="1"/>
      <c r="D360" s="1"/>
    </row>
    <row r="361" spans="1:4" ht="14.25" customHeight="1" x14ac:dyDescent="0.3">
      <c r="A361" s="1"/>
      <c r="D361" s="1"/>
    </row>
    <row r="362" spans="1:4" ht="14.25" customHeight="1" x14ac:dyDescent="0.3">
      <c r="A362" s="1"/>
      <c r="D362" s="1"/>
    </row>
    <row r="363" spans="1:4" ht="14.25" customHeight="1" x14ac:dyDescent="0.3">
      <c r="A363" s="1"/>
      <c r="D363" s="1"/>
    </row>
    <row r="364" spans="1:4" ht="14.25" customHeight="1" x14ac:dyDescent="0.3">
      <c r="A364" s="1"/>
      <c r="D364" s="1"/>
    </row>
    <row r="365" spans="1:4" ht="14.25" customHeight="1" x14ac:dyDescent="0.3">
      <c r="A365" s="1"/>
      <c r="D365" s="1"/>
    </row>
    <row r="366" spans="1:4" ht="14.25" customHeight="1" x14ac:dyDescent="0.3">
      <c r="A366" s="1"/>
      <c r="D366" s="1"/>
    </row>
    <row r="367" spans="1:4" ht="14.25" customHeight="1" x14ac:dyDescent="0.3">
      <c r="A367" s="1"/>
      <c r="D367" s="1"/>
    </row>
    <row r="368" spans="1:4" ht="14.25" customHeight="1" x14ac:dyDescent="0.3">
      <c r="A368" s="1"/>
      <c r="D368" s="1"/>
    </row>
    <row r="369" spans="1:4" ht="14.25" customHeight="1" x14ac:dyDescent="0.3">
      <c r="A369" s="1"/>
      <c r="D369" s="1"/>
    </row>
    <row r="370" spans="1:4" ht="14.25" customHeight="1" x14ac:dyDescent="0.3">
      <c r="A370" s="1"/>
      <c r="D370" s="1"/>
    </row>
    <row r="371" spans="1:4" ht="14.25" customHeight="1" x14ac:dyDescent="0.3">
      <c r="A371" s="1"/>
      <c r="D371" s="1"/>
    </row>
    <row r="372" spans="1:4" ht="14.25" customHeight="1" x14ac:dyDescent="0.3">
      <c r="A372" s="1"/>
      <c r="D372" s="1"/>
    </row>
    <row r="373" spans="1:4" ht="14.25" customHeight="1" x14ac:dyDescent="0.3">
      <c r="A373" s="1"/>
      <c r="D373" s="1"/>
    </row>
    <row r="374" spans="1:4" ht="14.25" customHeight="1" x14ac:dyDescent="0.3">
      <c r="A374" s="1"/>
      <c r="D374" s="1"/>
    </row>
    <row r="375" spans="1:4" ht="14.25" customHeight="1" x14ac:dyDescent="0.3">
      <c r="A375" s="1"/>
      <c r="D375" s="1"/>
    </row>
    <row r="376" spans="1:4" ht="14.25" customHeight="1" x14ac:dyDescent="0.3">
      <c r="A376" s="1"/>
      <c r="D376" s="1"/>
    </row>
    <row r="377" spans="1:4" ht="14.25" customHeight="1" x14ac:dyDescent="0.3">
      <c r="A377" s="1"/>
      <c r="D377" s="1"/>
    </row>
    <row r="378" spans="1:4" ht="14.25" customHeight="1" x14ac:dyDescent="0.3">
      <c r="A378" s="1"/>
      <c r="D378" s="1"/>
    </row>
    <row r="379" spans="1:4" ht="14.25" customHeight="1" x14ac:dyDescent="0.3">
      <c r="A379" s="1"/>
      <c r="D379" s="1"/>
    </row>
    <row r="380" spans="1:4" ht="14.25" customHeight="1" x14ac:dyDescent="0.3">
      <c r="A380" s="1"/>
      <c r="D380" s="1"/>
    </row>
    <row r="381" spans="1:4" ht="14.25" customHeight="1" x14ac:dyDescent="0.3">
      <c r="A381" s="1"/>
      <c r="D381" s="1"/>
    </row>
    <row r="382" spans="1:4" ht="14.25" customHeight="1" x14ac:dyDescent="0.3">
      <c r="A382" s="1"/>
      <c r="D382" s="1"/>
    </row>
    <row r="383" spans="1:4" ht="14.25" customHeight="1" x14ac:dyDescent="0.3">
      <c r="A383" s="1"/>
      <c r="D383" s="1"/>
    </row>
    <row r="384" spans="1:4" ht="14.25" customHeight="1" x14ac:dyDescent="0.3">
      <c r="A384" s="1"/>
      <c r="D384" s="1"/>
    </row>
    <row r="385" spans="1:4" ht="14.25" customHeight="1" x14ac:dyDescent="0.3">
      <c r="A385" s="1"/>
      <c r="D385" s="1"/>
    </row>
    <row r="386" spans="1:4" ht="14.25" customHeight="1" x14ac:dyDescent="0.3">
      <c r="A386" s="1"/>
      <c r="D386" s="1"/>
    </row>
    <row r="387" spans="1:4" ht="14.25" customHeight="1" x14ac:dyDescent="0.3">
      <c r="A387" s="1"/>
      <c r="D387" s="1"/>
    </row>
    <row r="388" spans="1:4" ht="14.25" customHeight="1" x14ac:dyDescent="0.3">
      <c r="A388" s="1"/>
      <c r="D388" s="1"/>
    </row>
    <row r="389" spans="1:4" ht="14.25" customHeight="1" x14ac:dyDescent="0.3">
      <c r="A389" s="1"/>
      <c r="D389" s="1"/>
    </row>
    <row r="390" spans="1:4" ht="14.25" customHeight="1" x14ac:dyDescent="0.3">
      <c r="A390" s="1"/>
      <c r="D390" s="1"/>
    </row>
    <row r="391" spans="1:4" ht="14.25" customHeight="1" x14ac:dyDescent="0.3">
      <c r="A391" s="1"/>
      <c r="D391" s="1"/>
    </row>
    <row r="392" spans="1:4" ht="14.25" customHeight="1" x14ac:dyDescent="0.3">
      <c r="A392" s="1"/>
      <c r="D392" s="1"/>
    </row>
    <row r="393" spans="1:4" ht="14.25" customHeight="1" x14ac:dyDescent="0.3">
      <c r="A393" s="1"/>
      <c r="D393" s="1"/>
    </row>
    <row r="394" spans="1:4" ht="14.25" customHeight="1" x14ac:dyDescent="0.3">
      <c r="A394" s="1"/>
      <c r="D394" s="1"/>
    </row>
    <row r="395" spans="1:4" ht="14.25" customHeight="1" x14ac:dyDescent="0.3">
      <c r="A395" s="1"/>
      <c r="D395" s="1"/>
    </row>
    <row r="396" spans="1:4" ht="14.25" customHeight="1" x14ac:dyDescent="0.3">
      <c r="A396" s="1"/>
      <c r="D396" s="1"/>
    </row>
    <row r="397" spans="1:4" ht="14.25" customHeight="1" x14ac:dyDescent="0.3">
      <c r="A397" s="1"/>
      <c r="D397" s="1"/>
    </row>
    <row r="398" spans="1:4" ht="14.25" customHeight="1" x14ac:dyDescent="0.3">
      <c r="A398" s="1"/>
      <c r="D398" s="1"/>
    </row>
    <row r="399" spans="1:4" ht="14.25" customHeight="1" x14ac:dyDescent="0.3">
      <c r="A399" s="1"/>
      <c r="D399" s="1"/>
    </row>
    <row r="400" spans="1:4" ht="14.25" customHeight="1" x14ac:dyDescent="0.3">
      <c r="A400" s="1"/>
      <c r="D400" s="1"/>
    </row>
    <row r="401" spans="1:4" ht="14.25" customHeight="1" x14ac:dyDescent="0.3">
      <c r="A401" s="1"/>
      <c r="D401" s="1"/>
    </row>
    <row r="402" spans="1:4" ht="14.25" customHeight="1" x14ac:dyDescent="0.3">
      <c r="A402" s="1"/>
      <c r="D402" s="1"/>
    </row>
    <row r="403" spans="1:4" ht="14.25" customHeight="1" x14ac:dyDescent="0.3">
      <c r="A403" s="1"/>
      <c r="D403" s="1"/>
    </row>
    <row r="404" spans="1:4" ht="14.25" customHeight="1" x14ac:dyDescent="0.3">
      <c r="A404" s="1"/>
      <c r="D404" s="1"/>
    </row>
    <row r="405" spans="1:4" ht="14.25" customHeight="1" x14ac:dyDescent="0.3">
      <c r="A405" s="1"/>
      <c r="D405" s="1"/>
    </row>
    <row r="406" spans="1:4" ht="14.25" customHeight="1" x14ac:dyDescent="0.3">
      <c r="A406" s="1"/>
      <c r="D406" s="1"/>
    </row>
    <row r="407" spans="1:4" ht="14.25" customHeight="1" x14ac:dyDescent="0.3">
      <c r="A407" s="1"/>
      <c r="D407" s="1"/>
    </row>
    <row r="408" spans="1:4" ht="14.25" customHeight="1" x14ac:dyDescent="0.3">
      <c r="A408" s="1"/>
      <c r="D408" s="1"/>
    </row>
    <row r="409" spans="1:4" ht="14.25" customHeight="1" x14ac:dyDescent="0.3">
      <c r="A409" s="1"/>
      <c r="D409" s="1"/>
    </row>
    <row r="410" spans="1:4" ht="14.25" customHeight="1" x14ac:dyDescent="0.3">
      <c r="A410" s="1"/>
      <c r="D410" s="1"/>
    </row>
    <row r="411" spans="1:4" ht="14.25" customHeight="1" x14ac:dyDescent="0.3">
      <c r="A411" s="1"/>
      <c r="D411" s="1"/>
    </row>
    <row r="412" spans="1:4" ht="14.25" customHeight="1" x14ac:dyDescent="0.3">
      <c r="A412" s="1"/>
      <c r="D412" s="1"/>
    </row>
    <row r="413" spans="1:4" ht="14.25" customHeight="1" x14ac:dyDescent="0.3">
      <c r="A413" s="1"/>
      <c r="D413" s="1"/>
    </row>
    <row r="414" spans="1:4" ht="14.25" customHeight="1" x14ac:dyDescent="0.3">
      <c r="A414" s="1"/>
      <c r="D414" s="1"/>
    </row>
    <row r="415" spans="1:4" ht="14.25" customHeight="1" x14ac:dyDescent="0.3">
      <c r="A415" s="1"/>
      <c r="D415" s="1"/>
    </row>
    <row r="416" spans="1:4" ht="14.25" customHeight="1" x14ac:dyDescent="0.3">
      <c r="A416" s="1"/>
      <c r="D416" s="1"/>
    </row>
    <row r="417" spans="1:4" ht="14.25" customHeight="1" x14ac:dyDescent="0.3">
      <c r="A417" s="1"/>
      <c r="D417" s="1"/>
    </row>
    <row r="418" spans="1:4" ht="14.25" customHeight="1" x14ac:dyDescent="0.3">
      <c r="A418" s="1"/>
      <c r="D418" s="1"/>
    </row>
    <row r="419" spans="1:4" ht="14.25" customHeight="1" x14ac:dyDescent="0.3">
      <c r="A419" s="1"/>
      <c r="D419" s="1"/>
    </row>
    <row r="420" spans="1:4" ht="14.25" customHeight="1" x14ac:dyDescent="0.3">
      <c r="A420" s="1"/>
      <c r="D420" s="1"/>
    </row>
    <row r="421" spans="1:4" ht="14.25" customHeight="1" x14ac:dyDescent="0.3">
      <c r="A421" s="1"/>
      <c r="D421" s="1"/>
    </row>
    <row r="422" spans="1:4" ht="14.25" customHeight="1" x14ac:dyDescent="0.3">
      <c r="A422" s="1"/>
      <c r="D422" s="1"/>
    </row>
    <row r="423" spans="1:4" ht="14.25" customHeight="1" x14ac:dyDescent="0.3">
      <c r="A423" s="1"/>
      <c r="D423" s="1"/>
    </row>
    <row r="424" spans="1:4" ht="14.25" customHeight="1" x14ac:dyDescent="0.3">
      <c r="A424" s="1"/>
      <c r="D424" s="1"/>
    </row>
    <row r="425" spans="1:4" ht="14.25" customHeight="1" x14ac:dyDescent="0.3">
      <c r="A425" s="1"/>
      <c r="D425" s="1"/>
    </row>
    <row r="426" spans="1:4" ht="14.25" customHeight="1" x14ac:dyDescent="0.3">
      <c r="A426" s="1"/>
      <c r="D426" s="1"/>
    </row>
    <row r="427" spans="1:4" ht="14.25" customHeight="1" x14ac:dyDescent="0.3">
      <c r="A427" s="1"/>
      <c r="D427" s="1"/>
    </row>
    <row r="428" spans="1:4" ht="14.25" customHeight="1" x14ac:dyDescent="0.3">
      <c r="A428" s="1"/>
      <c r="D428" s="1"/>
    </row>
    <row r="429" spans="1:4" ht="14.25" customHeight="1" x14ac:dyDescent="0.3">
      <c r="A429" s="1"/>
      <c r="D429" s="1"/>
    </row>
    <row r="430" spans="1:4" ht="14.25" customHeight="1" x14ac:dyDescent="0.3">
      <c r="A430" s="1"/>
      <c r="D430" s="1"/>
    </row>
    <row r="431" spans="1:4" ht="14.25" customHeight="1" x14ac:dyDescent="0.3">
      <c r="A431" s="1"/>
      <c r="D431" s="1"/>
    </row>
    <row r="432" spans="1:4" ht="14.25" customHeight="1" x14ac:dyDescent="0.3">
      <c r="A432" s="1"/>
      <c r="D432" s="1"/>
    </row>
    <row r="433" spans="1:4" ht="14.25" customHeight="1" x14ac:dyDescent="0.3">
      <c r="A433" s="1"/>
      <c r="D433" s="1"/>
    </row>
    <row r="434" spans="1:4" ht="14.25" customHeight="1" x14ac:dyDescent="0.3">
      <c r="A434" s="1"/>
      <c r="D434" s="1"/>
    </row>
    <row r="435" spans="1:4" ht="14.25" customHeight="1" x14ac:dyDescent="0.3">
      <c r="A435" s="1"/>
      <c r="D435" s="1"/>
    </row>
    <row r="436" spans="1:4" ht="14.25" customHeight="1" x14ac:dyDescent="0.3">
      <c r="A436" s="1"/>
      <c r="D436" s="1"/>
    </row>
    <row r="437" spans="1:4" ht="14.25" customHeight="1" x14ac:dyDescent="0.3">
      <c r="A437" s="1"/>
      <c r="D437" s="1"/>
    </row>
    <row r="438" spans="1:4" ht="14.25" customHeight="1" x14ac:dyDescent="0.3">
      <c r="A438" s="1"/>
      <c r="D438" s="1"/>
    </row>
    <row r="439" spans="1:4" ht="14.25" customHeight="1" x14ac:dyDescent="0.3">
      <c r="A439" s="1"/>
      <c r="D439" s="1"/>
    </row>
    <row r="440" spans="1:4" ht="14.25" customHeight="1" x14ac:dyDescent="0.3">
      <c r="A440" s="1"/>
      <c r="D440" s="1"/>
    </row>
    <row r="441" spans="1:4" ht="14.25" customHeight="1" x14ac:dyDescent="0.3">
      <c r="A441" s="1"/>
      <c r="D441" s="1"/>
    </row>
    <row r="442" spans="1:4" ht="14.25" customHeight="1" x14ac:dyDescent="0.3">
      <c r="A442" s="1"/>
      <c r="D442" s="1"/>
    </row>
    <row r="443" spans="1:4" ht="14.25" customHeight="1" x14ac:dyDescent="0.3">
      <c r="A443" s="1"/>
      <c r="D443" s="1"/>
    </row>
    <row r="444" spans="1:4" ht="14.25" customHeight="1" x14ac:dyDescent="0.3">
      <c r="A444" s="1"/>
      <c r="D444" s="1"/>
    </row>
    <row r="445" spans="1:4" ht="14.25" customHeight="1" x14ac:dyDescent="0.3">
      <c r="A445" s="1"/>
      <c r="D445" s="1"/>
    </row>
    <row r="446" spans="1:4" ht="14.25" customHeight="1" x14ac:dyDescent="0.3">
      <c r="A446" s="1"/>
      <c r="D446" s="1"/>
    </row>
    <row r="447" spans="1:4" ht="14.25" customHeight="1" x14ac:dyDescent="0.3">
      <c r="A447" s="1"/>
      <c r="D447" s="1"/>
    </row>
    <row r="448" spans="1:4" ht="14.25" customHeight="1" x14ac:dyDescent="0.3">
      <c r="A448" s="1"/>
      <c r="D448" s="1"/>
    </row>
    <row r="449" spans="1:4" ht="14.25" customHeight="1" x14ac:dyDescent="0.3">
      <c r="A449" s="1"/>
      <c r="D449" s="1"/>
    </row>
    <row r="450" spans="1:4" ht="14.25" customHeight="1" x14ac:dyDescent="0.3">
      <c r="A450" s="1"/>
      <c r="D450" s="1"/>
    </row>
    <row r="451" spans="1:4" ht="14.25" customHeight="1" x14ac:dyDescent="0.3">
      <c r="A451" s="1"/>
      <c r="D451" s="1"/>
    </row>
    <row r="452" spans="1:4" ht="14.25" customHeight="1" x14ac:dyDescent="0.3">
      <c r="A452" s="1"/>
      <c r="D452" s="1"/>
    </row>
    <row r="453" spans="1:4" ht="14.25" customHeight="1" x14ac:dyDescent="0.3">
      <c r="A453" s="1"/>
      <c r="D453" s="1"/>
    </row>
    <row r="454" spans="1:4" ht="14.25" customHeight="1" x14ac:dyDescent="0.3">
      <c r="A454" s="1"/>
      <c r="D454" s="1"/>
    </row>
    <row r="455" spans="1:4" ht="14.25" customHeight="1" x14ac:dyDescent="0.3">
      <c r="A455" s="1"/>
      <c r="D455" s="1"/>
    </row>
    <row r="456" spans="1:4" ht="14.25" customHeight="1" x14ac:dyDescent="0.3">
      <c r="A456" s="1"/>
      <c r="D456" s="1"/>
    </row>
    <row r="457" spans="1:4" ht="14.25" customHeight="1" x14ac:dyDescent="0.3">
      <c r="A457" s="1"/>
      <c r="D457" s="1"/>
    </row>
    <row r="458" spans="1:4" ht="14.25" customHeight="1" x14ac:dyDescent="0.3">
      <c r="A458" s="1"/>
      <c r="D458" s="1"/>
    </row>
    <row r="459" spans="1:4" ht="14.25" customHeight="1" x14ac:dyDescent="0.3">
      <c r="A459" s="1"/>
      <c r="D459" s="1"/>
    </row>
    <row r="460" spans="1:4" ht="14.25" customHeight="1" x14ac:dyDescent="0.3">
      <c r="A460" s="1"/>
      <c r="D460" s="1"/>
    </row>
    <row r="461" spans="1:4" ht="14.25" customHeight="1" x14ac:dyDescent="0.3">
      <c r="A461" s="1"/>
      <c r="D461" s="1"/>
    </row>
    <row r="462" spans="1:4" ht="14.25" customHeight="1" x14ac:dyDescent="0.3">
      <c r="A462" s="1"/>
      <c r="D462" s="1"/>
    </row>
    <row r="463" spans="1:4" ht="14.25" customHeight="1" x14ac:dyDescent="0.3">
      <c r="A463" s="1"/>
      <c r="D463" s="1"/>
    </row>
    <row r="464" spans="1:4" ht="14.25" customHeight="1" x14ac:dyDescent="0.3">
      <c r="A464" s="1"/>
      <c r="D464" s="1"/>
    </row>
    <row r="465" spans="1:4" ht="14.25" customHeight="1" x14ac:dyDescent="0.3">
      <c r="A465" s="1"/>
      <c r="D465" s="1"/>
    </row>
    <row r="466" spans="1:4" ht="14.25" customHeight="1" x14ac:dyDescent="0.3">
      <c r="A466" s="1"/>
      <c r="D466" s="1"/>
    </row>
    <row r="467" spans="1:4" ht="14.25" customHeight="1" x14ac:dyDescent="0.3">
      <c r="A467" s="1"/>
      <c r="D467" s="1"/>
    </row>
    <row r="468" spans="1:4" ht="14.25" customHeight="1" x14ac:dyDescent="0.3">
      <c r="A468" s="1"/>
      <c r="D468" s="1"/>
    </row>
    <row r="469" spans="1:4" ht="14.25" customHeight="1" x14ac:dyDescent="0.3">
      <c r="A469" s="1"/>
      <c r="D469" s="1"/>
    </row>
    <row r="470" spans="1:4" ht="14.25" customHeight="1" x14ac:dyDescent="0.3">
      <c r="A470" s="1"/>
      <c r="D470" s="1"/>
    </row>
    <row r="471" spans="1:4" ht="14.25" customHeight="1" x14ac:dyDescent="0.3">
      <c r="A471" s="1"/>
      <c r="D471" s="1"/>
    </row>
    <row r="472" spans="1:4" ht="14.25" customHeight="1" x14ac:dyDescent="0.3">
      <c r="A472" s="1"/>
      <c r="D472" s="1"/>
    </row>
    <row r="473" spans="1:4" ht="14.25" customHeight="1" x14ac:dyDescent="0.3">
      <c r="A473" s="1"/>
      <c r="D473" s="1"/>
    </row>
    <row r="474" spans="1:4" ht="14.25" customHeight="1" x14ac:dyDescent="0.3">
      <c r="A474" s="1"/>
      <c r="D474" s="1"/>
    </row>
    <row r="475" spans="1:4" ht="14.25" customHeight="1" x14ac:dyDescent="0.3">
      <c r="A475" s="1"/>
      <c r="D475" s="1"/>
    </row>
    <row r="476" spans="1:4" ht="14.25" customHeight="1" x14ac:dyDescent="0.3">
      <c r="A476" s="1"/>
      <c r="D476" s="1"/>
    </row>
    <row r="477" spans="1:4" ht="14.25" customHeight="1" x14ac:dyDescent="0.3">
      <c r="A477" s="1"/>
      <c r="D477" s="1"/>
    </row>
    <row r="478" spans="1:4" ht="14.25" customHeight="1" x14ac:dyDescent="0.3">
      <c r="A478" s="1"/>
      <c r="D478" s="1"/>
    </row>
    <row r="479" spans="1:4" ht="14.25" customHeight="1" x14ac:dyDescent="0.3">
      <c r="A479" s="1"/>
      <c r="D479" s="1"/>
    </row>
    <row r="480" spans="1:4" ht="14.25" customHeight="1" x14ac:dyDescent="0.3">
      <c r="A480" s="1"/>
      <c r="D480" s="1"/>
    </row>
    <row r="481" spans="1:4" ht="14.25" customHeight="1" x14ac:dyDescent="0.3">
      <c r="A481" s="1"/>
      <c r="D481" s="1"/>
    </row>
    <row r="482" spans="1:4" ht="14.25" customHeight="1" x14ac:dyDescent="0.3">
      <c r="A482" s="1"/>
      <c r="D482" s="1"/>
    </row>
    <row r="483" spans="1:4" ht="14.25" customHeight="1" x14ac:dyDescent="0.3">
      <c r="A483" s="1"/>
      <c r="D483" s="1"/>
    </row>
    <row r="484" spans="1:4" ht="14.25" customHeight="1" x14ac:dyDescent="0.3">
      <c r="A484" s="1"/>
      <c r="D484" s="1"/>
    </row>
    <row r="485" spans="1:4" ht="14.25" customHeight="1" x14ac:dyDescent="0.3">
      <c r="A485" s="1"/>
      <c r="D485" s="1"/>
    </row>
    <row r="486" spans="1:4" ht="14.25" customHeight="1" x14ac:dyDescent="0.3">
      <c r="A486" s="1"/>
      <c r="D486" s="1"/>
    </row>
    <row r="487" spans="1:4" ht="14.25" customHeight="1" x14ac:dyDescent="0.3">
      <c r="A487" s="1"/>
      <c r="D487" s="1"/>
    </row>
    <row r="488" spans="1:4" ht="14.25" customHeight="1" x14ac:dyDescent="0.3">
      <c r="A488" s="1"/>
      <c r="D488" s="1"/>
    </row>
    <row r="489" spans="1:4" ht="14.25" customHeight="1" x14ac:dyDescent="0.3">
      <c r="A489" s="1"/>
      <c r="D489" s="1"/>
    </row>
    <row r="490" spans="1:4" ht="14.25" customHeight="1" x14ac:dyDescent="0.3">
      <c r="A490" s="1"/>
      <c r="D490" s="1"/>
    </row>
    <row r="491" spans="1:4" ht="14.25" customHeight="1" x14ac:dyDescent="0.3">
      <c r="A491" s="1"/>
      <c r="D491" s="1"/>
    </row>
    <row r="492" spans="1:4" ht="14.25" customHeight="1" x14ac:dyDescent="0.3">
      <c r="A492" s="1"/>
      <c r="D492" s="1"/>
    </row>
    <row r="493" spans="1:4" ht="14.25" customHeight="1" x14ac:dyDescent="0.3">
      <c r="A493" s="1"/>
      <c r="D493" s="1"/>
    </row>
    <row r="494" spans="1:4" ht="14.25" customHeight="1" x14ac:dyDescent="0.3">
      <c r="A494" s="1"/>
      <c r="D494" s="1"/>
    </row>
    <row r="495" spans="1:4" ht="14.25" customHeight="1" x14ac:dyDescent="0.3">
      <c r="A495" s="1"/>
      <c r="D495" s="1"/>
    </row>
    <row r="496" spans="1:4" ht="14.25" customHeight="1" x14ac:dyDescent="0.3">
      <c r="A496" s="1"/>
      <c r="D496" s="1"/>
    </row>
    <row r="497" spans="1:4" ht="14.25" customHeight="1" x14ac:dyDescent="0.3">
      <c r="A497" s="1"/>
      <c r="D497" s="1"/>
    </row>
    <row r="498" spans="1:4" ht="14.25" customHeight="1" x14ac:dyDescent="0.3">
      <c r="A498" s="1"/>
      <c r="D498" s="1"/>
    </row>
    <row r="499" spans="1:4" ht="14.25" customHeight="1" x14ac:dyDescent="0.3">
      <c r="A499" s="1"/>
      <c r="D499" s="1"/>
    </row>
    <row r="500" spans="1:4" ht="14.25" customHeight="1" x14ac:dyDescent="0.3">
      <c r="A500" s="1"/>
      <c r="D500" s="1"/>
    </row>
    <row r="501" spans="1:4" ht="14.25" customHeight="1" x14ac:dyDescent="0.3">
      <c r="A501" s="1"/>
      <c r="D501" s="1"/>
    </row>
    <row r="502" spans="1:4" ht="14.25" customHeight="1" x14ac:dyDescent="0.3">
      <c r="A502" s="1"/>
      <c r="D502" s="1"/>
    </row>
    <row r="503" spans="1:4" ht="14.25" customHeight="1" x14ac:dyDescent="0.3">
      <c r="A503" s="1"/>
      <c r="D503" s="1"/>
    </row>
    <row r="504" spans="1:4" ht="14.25" customHeight="1" x14ac:dyDescent="0.3">
      <c r="A504" s="1"/>
      <c r="D504" s="1"/>
    </row>
    <row r="505" spans="1:4" ht="14.25" customHeight="1" x14ac:dyDescent="0.3">
      <c r="A505" s="1"/>
      <c r="D505" s="1"/>
    </row>
    <row r="506" spans="1:4" ht="14.25" customHeight="1" x14ac:dyDescent="0.3">
      <c r="A506" s="1"/>
      <c r="D506" s="1"/>
    </row>
    <row r="507" spans="1:4" ht="14.25" customHeight="1" x14ac:dyDescent="0.3">
      <c r="A507" s="1"/>
      <c r="D507" s="1"/>
    </row>
    <row r="508" spans="1:4" ht="14.25" customHeight="1" x14ac:dyDescent="0.3">
      <c r="A508" s="1"/>
      <c r="D508" s="1"/>
    </row>
    <row r="509" spans="1:4" ht="14.25" customHeight="1" x14ac:dyDescent="0.3">
      <c r="A509" s="1"/>
      <c r="D509" s="1"/>
    </row>
    <row r="510" spans="1:4" ht="14.25" customHeight="1" x14ac:dyDescent="0.3">
      <c r="A510" s="1"/>
      <c r="D510" s="1"/>
    </row>
    <row r="511" spans="1:4" ht="14.25" customHeight="1" x14ac:dyDescent="0.3">
      <c r="A511" s="1"/>
      <c r="D511" s="1"/>
    </row>
    <row r="512" spans="1:4" ht="14.25" customHeight="1" x14ac:dyDescent="0.3">
      <c r="A512" s="1"/>
      <c r="D512" s="1"/>
    </row>
    <row r="513" spans="1:4" ht="14.25" customHeight="1" x14ac:dyDescent="0.3">
      <c r="A513" s="1"/>
      <c r="D513" s="1"/>
    </row>
    <row r="514" spans="1:4" ht="14.25" customHeight="1" x14ac:dyDescent="0.3">
      <c r="A514" s="1"/>
      <c r="D514" s="1"/>
    </row>
    <row r="515" spans="1:4" ht="14.25" customHeight="1" x14ac:dyDescent="0.3">
      <c r="A515" s="1"/>
      <c r="D515" s="1"/>
    </row>
    <row r="516" spans="1:4" ht="14.25" customHeight="1" x14ac:dyDescent="0.3">
      <c r="A516" s="1"/>
      <c r="D516" s="1"/>
    </row>
    <row r="517" spans="1:4" ht="14.25" customHeight="1" x14ac:dyDescent="0.3">
      <c r="A517" s="1"/>
      <c r="D517" s="1"/>
    </row>
    <row r="518" spans="1:4" ht="14.25" customHeight="1" x14ac:dyDescent="0.3">
      <c r="A518" s="1"/>
      <c r="D518" s="1"/>
    </row>
    <row r="519" spans="1:4" ht="14.25" customHeight="1" x14ac:dyDescent="0.3">
      <c r="A519" s="1"/>
      <c r="D519" s="1"/>
    </row>
    <row r="520" spans="1:4" ht="14.25" customHeight="1" x14ac:dyDescent="0.3">
      <c r="A520" s="1"/>
      <c r="D520" s="1"/>
    </row>
    <row r="521" spans="1:4" ht="14.25" customHeight="1" x14ac:dyDescent="0.3">
      <c r="A521" s="1"/>
      <c r="D521" s="1"/>
    </row>
    <row r="522" spans="1:4" ht="14.25" customHeight="1" x14ac:dyDescent="0.3">
      <c r="A522" s="1"/>
      <c r="D522" s="1"/>
    </row>
    <row r="523" spans="1:4" ht="14.25" customHeight="1" x14ac:dyDescent="0.3">
      <c r="A523" s="1"/>
      <c r="D523" s="1"/>
    </row>
    <row r="524" spans="1:4" ht="14.25" customHeight="1" x14ac:dyDescent="0.3">
      <c r="A524" s="1"/>
      <c r="D524" s="1"/>
    </row>
    <row r="525" spans="1:4" ht="14.25" customHeight="1" x14ac:dyDescent="0.3">
      <c r="A525" s="1"/>
      <c r="D525" s="1"/>
    </row>
    <row r="526" spans="1:4" ht="14.25" customHeight="1" x14ac:dyDescent="0.3">
      <c r="A526" s="1"/>
      <c r="D526" s="1"/>
    </row>
    <row r="527" spans="1:4" ht="14.25" customHeight="1" x14ac:dyDescent="0.3">
      <c r="A527" s="1"/>
      <c r="D527" s="1"/>
    </row>
    <row r="528" spans="1:4" ht="14.25" customHeight="1" x14ac:dyDescent="0.3">
      <c r="A528" s="1"/>
      <c r="D528" s="1"/>
    </row>
    <row r="529" spans="1:4" ht="14.25" customHeight="1" x14ac:dyDescent="0.3">
      <c r="A529" s="1"/>
      <c r="D529" s="1"/>
    </row>
    <row r="530" spans="1:4" ht="14.25" customHeight="1" x14ac:dyDescent="0.3">
      <c r="A530" s="1"/>
      <c r="D530" s="1"/>
    </row>
    <row r="531" spans="1:4" ht="14.25" customHeight="1" x14ac:dyDescent="0.3">
      <c r="A531" s="1"/>
      <c r="D531" s="1"/>
    </row>
    <row r="532" spans="1:4" ht="14.25" customHeight="1" x14ac:dyDescent="0.3">
      <c r="A532" s="1"/>
      <c r="D532" s="1"/>
    </row>
    <row r="533" spans="1:4" ht="14.25" customHeight="1" x14ac:dyDescent="0.3">
      <c r="A533" s="1"/>
      <c r="D533" s="1"/>
    </row>
    <row r="534" spans="1:4" ht="14.25" customHeight="1" x14ac:dyDescent="0.3">
      <c r="A534" s="1"/>
      <c r="D534" s="1"/>
    </row>
    <row r="535" spans="1:4" ht="14.25" customHeight="1" x14ac:dyDescent="0.3">
      <c r="A535" s="1"/>
      <c r="D535" s="1"/>
    </row>
    <row r="536" spans="1:4" ht="14.25" customHeight="1" x14ac:dyDescent="0.3">
      <c r="A536" s="1"/>
      <c r="D536" s="1"/>
    </row>
    <row r="537" spans="1:4" ht="14.25" customHeight="1" x14ac:dyDescent="0.3">
      <c r="A537" s="1"/>
      <c r="D537" s="1"/>
    </row>
    <row r="538" spans="1:4" ht="14.25" customHeight="1" x14ac:dyDescent="0.3">
      <c r="A538" s="1"/>
      <c r="D538" s="1"/>
    </row>
    <row r="539" spans="1:4" ht="14.25" customHeight="1" x14ac:dyDescent="0.3">
      <c r="A539" s="1"/>
      <c r="D539" s="1"/>
    </row>
    <row r="540" spans="1:4" ht="14.25" customHeight="1" x14ac:dyDescent="0.3">
      <c r="A540" s="1"/>
      <c r="D540" s="1"/>
    </row>
    <row r="541" spans="1:4" ht="14.25" customHeight="1" x14ac:dyDescent="0.3">
      <c r="A541" s="1"/>
      <c r="D541" s="1"/>
    </row>
    <row r="542" spans="1:4" ht="14.25" customHeight="1" x14ac:dyDescent="0.3">
      <c r="A542" s="1"/>
      <c r="D542" s="1"/>
    </row>
    <row r="543" spans="1:4" ht="14.25" customHeight="1" x14ac:dyDescent="0.3">
      <c r="A543" s="1"/>
      <c r="D543" s="1"/>
    </row>
    <row r="544" spans="1:4" ht="14.25" customHeight="1" x14ac:dyDescent="0.3">
      <c r="A544" s="1"/>
      <c r="D544" s="1"/>
    </row>
    <row r="545" spans="1:4" ht="14.25" customHeight="1" x14ac:dyDescent="0.3">
      <c r="A545" s="1"/>
      <c r="D545" s="1"/>
    </row>
    <row r="546" spans="1:4" ht="14.25" customHeight="1" x14ac:dyDescent="0.3">
      <c r="A546" s="1"/>
      <c r="D546" s="1"/>
    </row>
    <row r="547" spans="1:4" ht="14.25" customHeight="1" x14ac:dyDescent="0.3">
      <c r="A547" s="1"/>
      <c r="D547" s="1"/>
    </row>
    <row r="548" spans="1:4" ht="14.25" customHeight="1" x14ac:dyDescent="0.3">
      <c r="A548" s="1"/>
      <c r="D548" s="1"/>
    </row>
    <row r="549" spans="1:4" ht="14.25" customHeight="1" x14ac:dyDescent="0.3">
      <c r="A549" s="1"/>
      <c r="D549" s="1"/>
    </row>
    <row r="550" spans="1:4" ht="14.25" customHeight="1" x14ac:dyDescent="0.3">
      <c r="A550" s="1"/>
      <c r="D550" s="1"/>
    </row>
    <row r="551" spans="1:4" ht="14.25" customHeight="1" x14ac:dyDescent="0.3">
      <c r="A551" s="1"/>
      <c r="D551" s="1"/>
    </row>
    <row r="552" spans="1:4" ht="14.25" customHeight="1" x14ac:dyDescent="0.3">
      <c r="A552" s="1"/>
      <c r="D552" s="1"/>
    </row>
    <row r="553" spans="1:4" ht="14.25" customHeight="1" x14ac:dyDescent="0.3">
      <c r="A553" s="1"/>
      <c r="D553" s="1"/>
    </row>
    <row r="554" spans="1:4" ht="14.25" customHeight="1" x14ac:dyDescent="0.3">
      <c r="A554" s="1"/>
      <c r="D554" s="1"/>
    </row>
    <row r="555" spans="1:4" ht="14.25" customHeight="1" x14ac:dyDescent="0.3">
      <c r="A555" s="1"/>
      <c r="D555" s="1"/>
    </row>
    <row r="556" spans="1:4" ht="14.25" customHeight="1" x14ac:dyDescent="0.3">
      <c r="A556" s="1"/>
      <c r="D556" s="1"/>
    </row>
    <row r="557" spans="1:4" ht="14.25" customHeight="1" x14ac:dyDescent="0.3">
      <c r="A557" s="1"/>
      <c r="D557" s="1"/>
    </row>
    <row r="558" spans="1:4" ht="14.25" customHeight="1" x14ac:dyDescent="0.3">
      <c r="A558" s="1"/>
      <c r="D558" s="1"/>
    </row>
    <row r="559" spans="1:4" ht="14.25" customHeight="1" x14ac:dyDescent="0.3">
      <c r="A559" s="1"/>
      <c r="D559" s="1"/>
    </row>
    <row r="560" spans="1:4" ht="14.25" customHeight="1" x14ac:dyDescent="0.3">
      <c r="A560" s="1"/>
      <c r="D560" s="1"/>
    </row>
    <row r="561" spans="1:4" ht="14.25" customHeight="1" x14ac:dyDescent="0.3">
      <c r="A561" s="1"/>
      <c r="D561" s="1"/>
    </row>
    <row r="562" spans="1:4" ht="14.25" customHeight="1" x14ac:dyDescent="0.3">
      <c r="A562" s="1"/>
      <c r="D562" s="1"/>
    </row>
    <row r="563" spans="1:4" ht="14.25" customHeight="1" x14ac:dyDescent="0.3">
      <c r="A563" s="1"/>
      <c r="D563" s="1"/>
    </row>
    <row r="564" spans="1:4" ht="14.25" customHeight="1" x14ac:dyDescent="0.3">
      <c r="A564" s="1"/>
      <c r="D564" s="1"/>
    </row>
    <row r="565" spans="1:4" ht="14.25" customHeight="1" x14ac:dyDescent="0.3">
      <c r="A565" s="1"/>
      <c r="D565" s="1"/>
    </row>
    <row r="566" spans="1:4" ht="14.25" customHeight="1" x14ac:dyDescent="0.3">
      <c r="A566" s="1"/>
      <c r="D566" s="1"/>
    </row>
    <row r="567" spans="1:4" ht="14.25" customHeight="1" x14ac:dyDescent="0.3">
      <c r="A567" s="1"/>
      <c r="D567" s="1"/>
    </row>
    <row r="568" spans="1:4" ht="14.25" customHeight="1" x14ac:dyDescent="0.3">
      <c r="A568" s="1"/>
      <c r="D568" s="1"/>
    </row>
    <row r="569" spans="1:4" ht="14.25" customHeight="1" x14ac:dyDescent="0.3">
      <c r="A569" s="1"/>
      <c r="D569" s="1"/>
    </row>
    <row r="570" spans="1:4" ht="14.25" customHeight="1" x14ac:dyDescent="0.3">
      <c r="A570" s="1"/>
      <c r="D570" s="1"/>
    </row>
    <row r="571" spans="1:4" ht="14.25" customHeight="1" x14ac:dyDescent="0.3">
      <c r="A571" s="1"/>
      <c r="D571" s="1"/>
    </row>
    <row r="572" spans="1:4" ht="14.25" customHeight="1" x14ac:dyDescent="0.3">
      <c r="A572" s="1"/>
      <c r="D572" s="1"/>
    </row>
    <row r="573" spans="1:4" ht="14.25" customHeight="1" x14ac:dyDescent="0.3">
      <c r="A573" s="1"/>
      <c r="D573" s="1"/>
    </row>
    <row r="574" spans="1:4" ht="14.25" customHeight="1" x14ac:dyDescent="0.3">
      <c r="A574" s="1"/>
      <c r="D574" s="1"/>
    </row>
    <row r="575" spans="1:4" ht="14.25" customHeight="1" x14ac:dyDescent="0.3">
      <c r="A575" s="1"/>
      <c r="D575" s="1"/>
    </row>
    <row r="576" spans="1:4" ht="14.25" customHeight="1" x14ac:dyDescent="0.3">
      <c r="A576" s="1"/>
      <c r="D576" s="1"/>
    </row>
    <row r="577" spans="1:4" ht="14.25" customHeight="1" x14ac:dyDescent="0.3">
      <c r="A577" s="1"/>
      <c r="D577" s="1"/>
    </row>
    <row r="578" spans="1:4" ht="14.25" customHeight="1" x14ac:dyDescent="0.3">
      <c r="A578" s="1"/>
      <c r="D578" s="1"/>
    </row>
    <row r="579" spans="1:4" ht="14.25" customHeight="1" x14ac:dyDescent="0.3">
      <c r="A579" s="1"/>
      <c r="D579" s="1"/>
    </row>
    <row r="580" spans="1:4" ht="14.25" customHeight="1" x14ac:dyDescent="0.3">
      <c r="A580" s="1"/>
      <c r="D580" s="1"/>
    </row>
    <row r="581" spans="1:4" ht="14.25" customHeight="1" x14ac:dyDescent="0.3">
      <c r="A581" s="1"/>
      <c r="D581" s="1"/>
    </row>
    <row r="582" spans="1:4" ht="14.25" customHeight="1" x14ac:dyDescent="0.3">
      <c r="A582" s="1"/>
      <c r="D582" s="1"/>
    </row>
    <row r="583" spans="1:4" ht="14.25" customHeight="1" x14ac:dyDescent="0.3">
      <c r="A583" s="1"/>
      <c r="D583" s="1"/>
    </row>
    <row r="584" spans="1:4" ht="14.25" customHeight="1" x14ac:dyDescent="0.3">
      <c r="A584" s="1"/>
      <c r="D584" s="1"/>
    </row>
    <row r="585" spans="1:4" ht="14.25" customHeight="1" x14ac:dyDescent="0.3">
      <c r="A585" s="1"/>
      <c r="D585" s="1"/>
    </row>
    <row r="586" spans="1:4" ht="14.25" customHeight="1" x14ac:dyDescent="0.3">
      <c r="A586" s="1"/>
      <c r="D586" s="1"/>
    </row>
    <row r="587" spans="1:4" ht="14.25" customHeight="1" x14ac:dyDescent="0.3">
      <c r="A587" s="1"/>
      <c r="D587" s="1"/>
    </row>
    <row r="588" spans="1:4" ht="14.25" customHeight="1" x14ac:dyDescent="0.3">
      <c r="A588" s="1"/>
      <c r="D588" s="1"/>
    </row>
    <row r="589" spans="1:4" ht="14.25" customHeight="1" x14ac:dyDescent="0.3">
      <c r="A589" s="1"/>
      <c r="D589" s="1"/>
    </row>
    <row r="590" spans="1:4" ht="14.25" customHeight="1" x14ac:dyDescent="0.3">
      <c r="A590" s="1"/>
      <c r="D590" s="1"/>
    </row>
    <row r="591" spans="1:4" ht="14.25" customHeight="1" x14ac:dyDescent="0.3">
      <c r="A591" s="1"/>
      <c r="D591" s="1"/>
    </row>
    <row r="592" spans="1:4" ht="14.25" customHeight="1" x14ac:dyDescent="0.3">
      <c r="A592" s="1"/>
      <c r="D592" s="1"/>
    </row>
    <row r="593" spans="1:4" ht="14.25" customHeight="1" x14ac:dyDescent="0.3">
      <c r="A593" s="1"/>
      <c r="D593" s="1"/>
    </row>
    <row r="594" spans="1:4" ht="14.25" customHeight="1" x14ac:dyDescent="0.3">
      <c r="A594" s="1"/>
      <c r="D594" s="1"/>
    </row>
    <row r="595" spans="1:4" ht="14.25" customHeight="1" x14ac:dyDescent="0.3">
      <c r="A595" s="1"/>
      <c r="D595" s="1"/>
    </row>
    <row r="596" spans="1:4" ht="14.25" customHeight="1" x14ac:dyDescent="0.3">
      <c r="A596" s="1"/>
      <c r="D596" s="1"/>
    </row>
    <row r="597" spans="1:4" ht="14.25" customHeight="1" x14ac:dyDescent="0.3">
      <c r="A597" s="1"/>
      <c r="D597" s="1"/>
    </row>
    <row r="598" spans="1:4" ht="14.25" customHeight="1" x14ac:dyDescent="0.3">
      <c r="A598" s="1"/>
      <c r="D598" s="1"/>
    </row>
    <row r="599" spans="1:4" ht="14.25" customHeight="1" x14ac:dyDescent="0.3">
      <c r="A599" s="1"/>
      <c r="D599" s="1"/>
    </row>
    <row r="600" spans="1:4" ht="14.25" customHeight="1" x14ac:dyDescent="0.3">
      <c r="A600" s="1"/>
      <c r="D600" s="1"/>
    </row>
    <row r="601" spans="1:4" ht="14.25" customHeight="1" x14ac:dyDescent="0.3">
      <c r="A601" s="1"/>
      <c r="D601" s="1"/>
    </row>
    <row r="602" spans="1:4" ht="14.25" customHeight="1" x14ac:dyDescent="0.3">
      <c r="A602" s="1"/>
      <c r="D602" s="1"/>
    </row>
    <row r="603" spans="1:4" ht="14.25" customHeight="1" x14ac:dyDescent="0.3">
      <c r="A603" s="1"/>
      <c r="D603" s="1"/>
    </row>
    <row r="604" spans="1:4" ht="14.25" customHeight="1" x14ac:dyDescent="0.3">
      <c r="A604" s="1"/>
      <c r="D604" s="1"/>
    </row>
    <row r="605" spans="1:4" ht="14.25" customHeight="1" x14ac:dyDescent="0.3">
      <c r="A605" s="1"/>
      <c r="D605" s="1"/>
    </row>
    <row r="606" spans="1:4" ht="14.25" customHeight="1" x14ac:dyDescent="0.3">
      <c r="A606" s="1"/>
      <c r="D606" s="1"/>
    </row>
    <row r="607" spans="1:4" ht="14.25" customHeight="1" x14ac:dyDescent="0.3">
      <c r="A607" s="1"/>
      <c r="D607" s="1"/>
    </row>
    <row r="608" spans="1:4" ht="14.25" customHeight="1" x14ac:dyDescent="0.3">
      <c r="A608" s="1"/>
      <c r="D608" s="1"/>
    </row>
    <row r="609" spans="1:4" ht="14.25" customHeight="1" x14ac:dyDescent="0.3">
      <c r="A609" s="1"/>
      <c r="D609" s="1"/>
    </row>
    <row r="610" spans="1:4" ht="14.25" customHeight="1" x14ac:dyDescent="0.3">
      <c r="A610" s="1"/>
      <c r="D610" s="1"/>
    </row>
    <row r="611" spans="1:4" ht="14.25" customHeight="1" x14ac:dyDescent="0.3">
      <c r="A611" s="1"/>
      <c r="D611" s="1"/>
    </row>
    <row r="612" spans="1:4" ht="14.25" customHeight="1" x14ac:dyDescent="0.3">
      <c r="A612" s="1"/>
      <c r="D612" s="1"/>
    </row>
    <row r="613" spans="1:4" ht="14.25" customHeight="1" x14ac:dyDescent="0.3">
      <c r="A613" s="1"/>
      <c r="D613" s="1"/>
    </row>
    <row r="614" spans="1:4" ht="14.25" customHeight="1" x14ac:dyDescent="0.3">
      <c r="A614" s="1"/>
      <c r="D614" s="1"/>
    </row>
    <row r="615" spans="1:4" ht="14.25" customHeight="1" x14ac:dyDescent="0.3">
      <c r="A615" s="1"/>
      <c r="D615" s="1"/>
    </row>
    <row r="616" spans="1:4" ht="14.25" customHeight="1" x14ac:dyDescent="0.3">
      <c r="A616" s="1"/>
      <c r="D616" s="1"/>
    </row>
    <row r="617" spans="1:4" ht="14.25" customHeight="1" x14ac:dyDescent="0.3">
      <c r="A617" s="1"/>
      <c r="D617" s="1"/>
    </row>
    <row r="618" spans="1:4" ht="14.25" customHeight="1" x14ac:dyDescent="0.3">
      <c r="A618" s="1"/>
      <c r="D618" s="1"/>
    </row>
    <row r="619" spans="1:4" ht="14.25" customHeight="1" x14ac:dyDescent="0.3">
      <c r="A619" s="1"/>
      <c r="D619" s="1"/>
    </row>
    <row r="620" spans="1:4" ht="14.25" customHeight="1" x14ac:dyDescent="0.3">
      <c r="A620" s="1"/>
      <c r="D620" s="1"/>
    </row>
    <row r="621" spans="1:4" ht="14.25" customHeight="1" x14ac:dyDescent="0.3">
      <c r="A621" s="1"/>
      <c r="D621" s="1"/>
    </row>
    <row r="622" spans="1:4" ht="14.25" customHeight="1" x14ac:dyDescent="0.3">
      <c r="A622" s="1"/>
      <c r="D622" s="1"/>
    </row>
    <row r="623" spans="1:4" ht="14.25" customHeight="1" x14ac:dyDescent="0.3">
      <c r="A623" s="1"/>
      <c r="D623" s="1"/>
    </row>
    <row r="624" spans="1:4" ht="14.25" customHeight="1" x14ac:dyDescent="0.3">
      <c r="A624" s="1"/>
      <c r="D624" s="1"/>
    </row>
    <row r="625" spans="1:4" ht="14.25" customHeight="1" x14ac:dyDescent="0.3">
      <c r="A625" s="1"/>
      <c r="D625" s="1"/>
    </row>
    <row r="626" spans="1:4" ht="14.25" customHeight="1" x14ac:dyDescent="0.3">
      <c r="A626" s="1"/>
      <c r="D626" s="1"/>
    </row>
    <row r="627" spans="1:4" ht="14.25" customHeight="1" x14ac:dyDescent="0.3">
      <c r="A627" s="1"/>
      <c r="D627" s="1"/>
    </row>
    <row r="628" spans="1:4" ht="14.25" customHeight="1" x14ac:dyDescent="0.3">
      <c r="A628" s="1"/>
      <c r="D628" s="1"/>
    </row>
    <row r="629" spans="1:4" ht="14.25" customHeight="1" x14ac:dyDescent="0.3">
      <c r="A629" s="1"/>
      <c r="D629" s="1"/>
    </row>
    <row r="630" spans="1:4" ht="14.25" customHeight="1" x14ac:dyDescent="0.3">
      <c r="A630" s="1"/>
      <c r="D630" s="1"/>
    </row>
    <row r="631" spans="1:4" ht="14.25" customHeight="1" x14ac:dyDescent="0.3">
      <c r="A631" s="1"/>
      <c r="D631" s="1"/>
    </row>
    <row r="632" spans="1:4" ht="14.25" customHeight="1" x14ac:dyDescent="0.3">
      <c r="A632" s="1"/>
      <c r="D632" s="1"/>
    </row>
    <row r="633" spans="1:4" ht="14.25" customHeight="1" x14ac:dyDescent="0.3">
      <c r="A633" s="1"/>
      <c r="D633" s="1"/>
    </row>
    <row r="634" spans="1:4" ht="14.25" customHeight="1" x14ac:dyDescent="0.3">
      <c r="A634" s="1"/>
      <c r="D634" s="1"/>
    </row>
    <row r="635" spans="1:4" ht="14.25" customHeight="1" x14ac:dyDescent="0.3">
      <c r="A635" s="1"/>
      <c r="D635" s="1"/>
    </row>
    <row r="636" spans="1:4" ht="14.25" customHeight="1" x14ac:dyDescent="0.3">
      <c r="A636" s="1"/>
      <c r="D636" s="1"/>
    </row>
    <row r="637" spans="1:4" ht="14.25" customHeight="1" x14ac:dyDescent="0.3">
      <c r="A637" s="1"/>
      <c r="D637" s="1"/>
    </row>
    <row r="638" spans="1:4" ht="14.25" customHeight="1" x14ac:dyDescent="0.3">
      <c r="A638" s="1"/>
      <c r="D638" s="1"/>
    </row>
    <row r="639" spans="1:4" ht="14.25" customHeight="1" x14ac:dyDescent="0.3">
      <c r="A639" s="1"/>
      <c r="D639" s="1"/>
    </row>
    <row r="640" spans="1:4" ht="14.25" customHeight="1" x14ac:dyDescent="0.3">
      <c r="A640" s="1"/>
      <c r="D640" s="1"/>
    </row>
    <row r="641" spans="1:4" ht="14.25" customHeight="1" x14ac:dyDescent="0.3">
      <c r="A641" s="1"/>
      <c r="D641" s="1"/>
    </row>
    <row r="642" spans="1:4" ht="14.25" customHeight="1" x14ac:dyDescent="0.3">
      <c r="A642" s="1"/>
      <c r="D642" s="1"/>
    </row>
    <row r="643" spans="1:4" ht="14.25" customHeight="1" x14ac:dyDescent="0.3">
      <c r="A643" s="1"/>
      <c r="D643" s="1"/>
    </row>
    <row r="644" spans="1:4" ht="14.25" customHeight="1" x14ac:dyDescent="0.3">
      <c r="A644" s="1"/>
      <c r="D644" s="1"/>
    </row>
    <row r="645" spans="1:4" ht="14.25" customHeight="1" x14ac:dyDescent="0.3">
      <c r="A645" s="1"/>
      <c r="D645" s="1"/>
    </row>
    <row r="646" spans="1:4" ht="14.25" customHeight="1" x14ac:dyDescent="0.3">
      <c r="A646" s="1"/>
      <c r="D646" s="1"/>
    </row>
    <row r="647" spans="1:4" ht="14.25" customHeight="1" x14ac:dyDescent="0.3">
      <c r="A647" s="1"/>
      <c r="D647" s="1"/>
    </row>
    <row r="648" spans="1:4" ht="14.25" customHeight="1" x14ac:dyDescent="0.3">
      <c r="A648" s="1"/>
      <c r="D648" s="1"/>
    </row>
    <row r="649" spans="1:4" ht="14.25" customHeight="1" x14ac:dyDescent="0.3">
      <c r="A649" s="1"/>
      <c r="D649" s="1"/>
    </row>
    <row r="650" spans="1:4" ht="14.25" customHeight="1" x14ac:dyDescent="0.3">
      <c r="A650" s="1"/>
      <c r="D650" s="1"/>
    </row>
    <row r="651" spans="1:4" ht="14.25" customHeight="1" x14ac:dyDescent="0.3">
      <c r="A651" s="1"/>
      <c r="D651" s="1"/>
    </row>
    <row r="652" spans="1:4" ht="14.25" customHeight="1" x14ac:dyDescent="0.3">
      <c r="A652" s="1"/>
      <c r="D652" s="1"/>
    </row>
    <row r="653" spans="1:4" ht="14.25" customHeight="1" x14ac:dyDescent="0.3">
      <c r="A653" s="1"/>
      <c r="D653" s="1"/>
    </row>
    <row r="654" spans="1:4" ht="14.25" customHeight="1" x14ac:dyDescent="0.3">
      <c r="A654" s="1"/>
      <c r="D654" s="1"/>
    </row>
    <row r="655" spans="1:4" ht="14.25" customHeight="1" x14ac:dyDescent="0.3">
      <c r="A655" s="1"/>
      <c r="D655" s="1"/>
    </row>
    <row r="656" spans="1:4" ht="14.25" customHeight="1" x14ac:dyDescent="0.3">
      <c r="A656" s="1"/>
      <c r="D656" s="1"/>
    </row>
    <row r="657" spans="1:4" ht="14.25" customHeight="1" x14ac:dyDescent="0.3">
      <c r="A657" s="1"/>
      <c r="D657" s="1"/>
    </row>
    <row r="658" spans="1:4" ht="14.25" customHeight="1" x14ac:dyDescent="0.3">
      <c r="A658" s="1"/>
      <c r="D658" s="1"/>
    </row>
    <row r="659" spans="1:4" ht="14.25" customHeight="1" x14ac:dyDescent="0.3">
      <c r="A659" s="1"/>
      <c r="D659" s="1"/>
    </row>
    <row r="660" spans="1:4" ht="14.25" customHeight="1" x14ac:dyDescent="0.3">
      <c r="A660" s="1"/>
      <c r="D660" s="1"/>
    </row>
    <row r="661" spans="1:4" ht="14.25" customHeight="1" x14ac:dyDescent="0.3">
      <c r="A661" s="1"/>
      <c r="D661" s="1"/>
    </row>
    <row r="662" spans="1:4" ht="14.25" customHeight="1" x14ac:dyDescent="0.3">
      <c r="A662" s="1"/>
      <c r="D662" s="1"/>
    </row>
    <row r="663" spans="1:4" ht="14.25" customHeight="1" x14ac:dyDescent="0.3">
      <c r="A663" s="1"/>
      <c r="D663" s="1"/>
    </row>
    <row r="664" spans="1:4" ht="14.25" customHeight="1" x14ac:dyDescent="0.3">
      <c r="A664" s="1"/>
      <c r="D664" s="1"/>
    </row>
    <row r="665" spans="1:4" ht="14.25" customHeight="1" x14ac:dyDescent="0.3">
      <c r="A665" s="1"/>
      <c r="D665" s="1"/>
    </row>
    <row r="666" spans="1:4" ht="14.25" customHeight="1" x14ac:dyDescent="0.3">
      <c r="A666" s="1"/>
      <c r="D666" s="1"/>
    </row>
    <row r="667" spans="1:4" ht="14.25" customHeight="1" x14ac:dyDescent="0.3">
      <c r="A667" s="1"/>
      <c r="D667" s="1"/>
    </row>
    <row r="668" spans="1:4" ht="14.25" customHeight="1" x14ac:dyDescent="0.3">
      <c r="A668" s="1"/>
      <c r="D668" s="1"/>
    </row>
    <row r="669" spans="1:4" ht="14.25" customHeight="1" x14ac:dyDescent="0.3">
      <c r="A669" s="1"/>
      <c r="D669" s="1"/>
    </row>
    <row r="670" spans="1:4" ht="14.25" customHeight="1" x14ac:dyDescent="0.3">
      <c r="A670" s="1"/>
      <c r="D670" s="1"/>
    </row>
    <row r="671" spans="1:4" ht="14.25" customHeight="1" x14ac:dyDescent="0.3">
      <c r="A671" s="1"/>
      <c r="D671" s="1"/>
    </row>
    <row r="672" spans="1:4" ht="14.25" customHeight="1" x14ac:dyDescent="0.3">
      <c r="A672" s="1"/>
      <c r="D672" s="1"/>
    </row>
    <row r="673" spans="1:4" ht="14.25" customHeight="1" x14ac:dyDescent="0.3">
      <c r="A673" s="1"/>
      <c r="D673" s="1"/>
    </row>
    <row r="674" spans="1:4" ht="14.25" customHeight="1" x14ac:dyDescent="0.3">
      <c r="A674" s="1"/>
      <c r="D674" s="1"/>
    </row>
    <row r="675" spans="1:4" ht="14.25" customHeight="1" x14ac:dyDescent="0.3">
      <c r="A675" s="1"/>
      <c r="D675" s="1"/>
    </row>
    <row r="676" spans="1:4" ht="14.25" customHeight="1" x14ac:dyDescent="0.3">
      <c r="A676" s="1"/>
      <c r="D676" s="1"/>
    </row>
    <row r="677" spans="1:4" ht="14.25" customHeight="1" x14ac:dyDescent="0.3">
      <c r="A677" s="1"/>
      <c r="D677" s="1"/>
    </row>
    <row r="678" spans="1:4" ht="14.25" customHeight="1" x14ac:dyDescent="0.3">
      <c r="A678" s="1"/>
      <c r="D678" s="1"/>
    </row>
    <row r="679" spans="1:4" ht="14.25" customHeight="1" x14ac:dyDescent="0.3">
      <c r="A679" s="1"/>
      <c r="D679" s="1"/>
    </row>
    <row r="680" spans="1:4" ht="14.25" customHeight="1" x14ac:dyDescent="0.3">
      <c r="A680" s="1"/>
      <c r="D680" s="1"/>
    </row>
    <row r="681" spans="1:4" ht="14.25" customHeight="1" x14ac:dyDescent="0.3">
      <c r="A681" s="1"/>
      <c r="D681" s="1"/>
    </row>
    <row r="682" spans="1:4" ht="14.25" customHeight="1" x14ac:dyDescent="0.3">
      <c r="A682" s="1"/>
      <c r="D682" s="1"/>
    </row>
    <row r="683" spans="1:4" ht="14.25" customHeight="1" x14ac:dyDescent="0.3">
      <c r="A683" s="1"/>
      <c r="D683" s="1"/>
    </row>
    <row r="684" spans="1:4" ht="14.25" customHeight="1" x14ac:dyDescent="0.3">
      <c r="A684" s="1"/>
      <c r="D684" s="1"/>
    </row>
    <row r="685" spans="1:4" ht="14.25" customHeight="1" x14ac:dyDescent="0.3">
      <c r="A685" s="1"/>
      <c r="D685" s="1"/>
    </row>
    <row r="686" spans="1:4" ht="14.25" customHeight="1" x14ac:dyDescent="0.3">
      <c r="A686" s="1"/>
      <c r="D686" s="1"/>
    </row>
    <row r="687" spans="1:4" ht="14.25" customHeight="1" x14ac:dyDescent="0.3">
      <c r="A687" s="1"/>
      <c r="D687" s="1"/>
    </row>
    <row r="688" spans="1:4" ht="14.25" customHeight="1" x14ac:dyDescent="0.3">
      <c r="A688" s="1"/>
      <c r="D688" s="1"/>
    </row>
    <row r="689" spans="1:4" ht="14.25" customHeight="1" x14ac:dyDescent="0.3">
      <c r="A689" s="1"/>
      <c r="D689" s="1"/>
    </row>
    <row r="690" spans="1:4" ht="14.25" customHeight="1" x14ac:dyDescent="0.3">
      <c r="A690" s="1"/>
      <c r="D690" s="1"/>
    </row>
    <row r="691" spans="1:4" ht="14.25" customHeight="1" x14ac:dyDescent="0.3">
      <c r="A691" s="1"/>
      <c r="D691" s="1"/>
    </row>
    <row r="692" spans="1:4" ht="14.25" customHeight="1" x14ac:dyDescent="0.3">
      <c r="A692" s="1"/>
      <c r="D692" s="1"/>
    </row>
    <row r="693" spans="1:4" ht="14.25" customHeight="1" x14ac:dyDescent="0.3">
      <c r="A693" s="1"/>
      <c r="D693" s="1"/>
    </row>
    <row r="694" spans="1:4" ht="14.25" customHeight="1" x14ac:dyDescent="0.3">
      <c r="A694" s="1"/>
      <c r="D694" s="1"/>
    </row>
    <row r="695" spans="1:4" ht="14.25" customHeight="1" x14ac:dyDescent="0.3">
      <c r="A695" s="1"/>
      <c r="D695" s="1"/>
    </row>
    <row r="696" spans="1:4" ht="14.25" customHeight="1" x14ac:dyDescent="0.3">
      <c r="A696" s="1"/>
      <c r="D696" s="1"/>
    </row>
    <row r="697" spans="1:4" ht="14.25" customHeight="1" x14ac:dyDescent="0.3">
      <c r="A697" s="1"/>
      <c r="D697" s="1"/>
    </row>
    <row r="698" spans="1:4" ht="14.25" customHeight="1" x14ac:dyDescent="0.3">
      <c r="A698" s="1"/>
      <c r="D698" s="1"/>
    </row>
    <row r="699" spans="1:4" ht="14.25" customHeight="1" x14ac:dyDescent="0.3">
      <c r="A699" s="1"/>
      <c r="D699" s="1"/>
    </row>
    <row r="700" spans="1:4" ht="14.25" customHeight="1" x14ac:dyDescent="0.3">
      <c r="A700" s="1"/>
      <c r="D700" s="1"/>
    </row>
    <row r="701" spans="1:4" ht="14.25" customHeight="1" x14ac:dyDescent="0.3">
      <c r="A701" s="1"/>
      <c r="D701" s="1"/>
    </row>
    <row r="702" spans="1:4" ht="14.25" customHeight="1" x14ac:dyDescent="0.3">
      <c r="A702" s="1"/>
      <c r="D702" s="1"/>
    </row>
    <row r="703" spans="1:4" ht="14.25" customHeight="1" x14ac:dyDescent="0.3">
      <c r="A703" s="1"/>
      <c r="D703" s="1"/>
    </row>
    <row r="704" spans="1:4" ht="14.25" customHeight="1" x14ac:dyDescent="0.3">
      <c r="A704" s="1"/>
      <c r="D704" s="1"/>
    </row>
    <row r="705" spans="1:4" ht="14.25" customHeight="1" x14ac:dyDescent="0.3">
      <c r="A705" s="1"/>
      <c r="D705" s="1"/>
    </row>
    <row r="706" spans="1:4" ht="14.25" customHeight="1" x14ac:dyDescent="0.3">
      <c r="A706" s="1"/>
      <c r="D706" s="1"/>
    </row>
    <row r="707" spans="1:4" ht="14.25" customHeight="1" x14ac:dyDescent="0.3">
      <c r="A707" s="1"/>
      <c r="D707" s="1"/>
    </row>
    <row r="708" spans="1:4" ht="14.25" customHeight="1" x14ac:dyDescent="0.3">
      <c r="A708" s="1"/>
      <c r="D708" s="1"/>
    </row>
    <row r="709" spans="1:4" ht="14.25" customHeight="1" x14ac:dyDescent="0.3">
      <c r="A709" s="1"/>
      <c r="D709" s="1"/>
    </row>
    <row r="710" spans="1:4" ht="14.25" customHeight="1" x14ac:dyDescent="0.3">
      <c r="A710" s="1"/>
      <c r="D710" s="1"/>
    </row>
    <row r="711" spans="1:4" ht="14.25" customHeight="1" x14ac:dyDescent="0.3">
      <c r="A711" s="1"/>
      <c r="D711" s="1"/>
    </row>
    <row r="712" spans="1:4" ht="14.25" customHeight="1" x14ac:dyDescent="0.3">
      <c r="A712" s="1"/>
      <c r="D712" s="1"/>
    </row>
    <row r="713" spans="1:4" ht="14.25" customHeight="1" x14ac:dyDescent="0.3">
      <c r="A713" s="1"/>
      <c r="D713" s="1"/>
    </row>
    <row r="714" spans="1:4" ht="14.25" customHeight="1" x14ac:dyDescent="0.3">
      <c r="A714" s="1"/>
      <c r="D714" s="1"/>
    </row>
    <row r="715" spans="1:4" ht="14.25" customHeight="1" x14ac:dyDescent="0.3">
      <c r="A715" s="1"/>
      <c r="D715" s="1"/>
    </row>
    <row r="716" spans="1:4" ht="14.25" customHeight="1" x14ac:dyDescent="0.3">
      <c r="A716" s="1"/>
      <c r="D716" s="1"/>
    </row>
    <row r="717" spans="1:4" ht="14.25" customHeight="1" x14ac:dyDescent="0.3">
      <c r="A717" s="1"/>
      <c r="D717" s="1"/>
    </row>
    <row r="718" spans="1:4" ht="14.25" customHeight="1" x14ac:dyDescent="0.3">
      <c r="A718" s="1"/>
      <c r="D718" s="1"/>
    </row>
    <row r="719" spans="1:4" ht="14.25" customHeight="1" x14ac:dyDescent="0.3">
      <c r="A719" s="1"/>
      <c r="D719" s="1"/>
    </row>
    <row r="720" spans="1:4" ht="14.25" customHeight="1" x14ac:dyDescent="0.3">
      <c r="A720" s="1"/>
      <c r="D720" s="1"/>
    </row>
    <row r="721" spans="1:4" ht="14.25" customHeight="1" x14ac:dyDescent="0.3">
      <c r="A721" s="1"/>
      <c r="D721" s="1"/>
    </row>
    <row r="722" spans="1:4" ht="14.25" customHeight="1" x14ac:dyDescent="0.3">
      <c r="A722" s="1"/>
      <c r="D722" s="1"/>
    </row>
    <row r="723" spans="1:4" ht="14.25" customHeight="1" x14ac:dyDescent="0.3">
      <c r="A723" s="1"/>
      <c r="D723" s="1"/>
    </row>
    <row r="724" spans="1:4" ht="14.25" customHeight="1" x14ac:dyDescent="0.3">
      <c r="A724" s="1"/>
      <c r="D724" s="1"/>
    </row>
    <row r="725" spans="1:4" ht="14.25" customHeight="1" x14ac:dyDescent="0.3">
      <c r="A725" s="1"/>
      <c r="D725" s="1"/>
    </row>
    <row r="726" spans="1:4" ht="14.25" customHeight="1" x14ac:dyDescent="0.3">
      <c r="A726" s="1"/>
      <c r="D726" s="1"/>
    </row>
    <row r="727" spans="1:4" ht="14.25" customHeight="1" x14ac:dyDescent="0.3">
      <c r="A727" s="1"/>
      <c r="D727" s="1"/>
    </row>
    <row r="728" spans="1:4" ht="14.25" customHeight="1" x14ac:dyDescent="0.3">
      <c r="A728" s="1"/>
      <c r="D728" s="1"/>
    </row>
    <row r="729" spans="1:4" ht="14.25" customHeight="1" x14ac:dyDescent="0.3">
      <c r="A729" s="1"/>
      <c r="D729" s="1"/>
    </row>
    <row r="730" spans="1:4" ht="14.25" customHeight="1" x14ac:dyDescent="0.3">
      <c r="A730" s="1"/>
      <c r="D730" s="1"/>
    </row>
    <row r="731" spans="1:4" ht="14.25" customHeight="1" x14ac:dyDescent="0.3">
      <c r="A731" s="1"/>
      <c r="D731" s="1"/>
    </row>
    <row r="732" spans="1:4" ht="14.25" customHeight="1" x14ac:dyDescent="0.3">
      <c r="A732" s="1"/>
      <c r="D732" s="1"/>
    </row>
    <row r="733" spans="1:4" ht="14.25" customHeight="1" x14ac:dyDescent="0.3">
      <c r="A733" s="1"/>
      <c r="D733" s="1"/>
    </row>
    <row r="734" spans="1:4" ht="14.25" customHeight="1" x14ac:dyDescent="0.3">
      <c r="A734" s="1"/>
      <c r="D734" s="1"/>
    </row>
    <row r="735" spans="1:4" ht="14.25" customHeight="1" x14ac:dyDescent="0.3">
      <c r="A735" s="1"/>
      <c r="D735" s="1"/>
    </row>
    <row r="736" spans="1:4" ht="14.25" customHeight="1" x14ac:dyDescent="0.3">
      <c r="A736" s="1"/>
      <c r="D736" s="1"/>
    </row>
    <row r="737" spans="1:4" ht="14.25" customHeight="1" x14ac:dyDescent="0.3">
      <c r="A737" s="1"/>
      <c r="D737" s="1"/>
    </row>
    <row r="738" spans="1:4" ht="14.25" customHeight="1" x14ac:dyDescent="0.3">
      <c r="A738" s="1"/>
      <c r="D738" s="1"/>
    </row>
    <row r="739" spans="1:4" ht="14.25" customHeight="1" x14ac:dyDescent="0.3">
      <c r="A739" s="1"/>
      <c r="D739" s="1"/>
    </row>
    <row r="740" spans="1:4" ht="14.25" customHeight="1" x14ac:dyDescent="0.3">
      <c r="A740" s="1"/>
      <c r="D740" s="1"/>
    </row>
    <row r="741" spans="1:4" ht="14.25" customHeight="1" x14ac:dyDescent="0.3">
      <c r="A741" s="1"/>
      <c r="D741" s="1"/>
    </row>
    <row r="742" spans="1:4" ht="14.25" customHeight="1" x14ac:dyDescent="0.3">
      <c r="A742" s="1"/>
      <c r="D742" s="1"/>
    </row>
    <row r="743" spans="1:4" ht="14.25" customHeight="1" x14ac:dyDescent="0.3">
      <c r="A743" s="1"/>
      <c r="D743" s="1"/>
    </row>
    <row r="744" spans="1:4" ht="14.25" customHeight="1" x14ac:dyDescent="0.3">
      <c r="A744" s="1"/>
      <c r="D744" s="1"/>
    </row>
    <row r="745" spans="1:4" ht="14.25" customHeight="1" x14ac:dyDescent="0.3">
      <c r="A745" s="1"/>
      <c r="D745" s="1"/>
    </row>
    <row r="746" spans="1:4" ht="14.25" customHeight="1" x14ac:dyDescent="0.3">
      <c r="A746" s="1"/>
      <c r="D746" s="1"/>
    </row>
    <row r="747" spans="1:4" ht="14.25" customHeight="1" x14ac:dyDescent="0.3">
      <c r="A747" s="1"/>
      <c r="D747" s="1"/>
    </row>
    <row r="748" spans="1:4" ht="14.25" customHeight="1" x14ac:dyDescent="0.3">
      <c r="A748" s="1"/>
      <c r="D748" s="1"/>
    </row>
    <row r="749" spans="1:4" ht="14.25" customHeight="1" x14ac:dyDescent="0.3">
      <c r="A749" s="1"/>
      <c r="D749" s="1"/>
    </row>
    <row r="750" spans="1:4" ht="14.25" customHeight="1" x14ac:dyDescent="0.3">
      <c r="A750" s="1"/>
      <c r="D750" s="1"/>
    </row>
    <row r="751" spans="1:4" ht="14.25" customHeight="1" x14ac:dyDescent="0.3">
      <c r="A751" s="1"/>
      <c r="D751" s="1"/>
    </row>
    <row r="752" spans="1:4" ht="14.25" customHeight="1" x14ac:dyDescent="0.3">
      <c r="A752" s="1"/>
      <c r="D752" s="1"/>
    </row>
    <row r="753" spans="1:4" ht="14.25" customHeight="1" x14ac:dyDescent="0.3">
      <c r="A753" s="1"/>
      <c r="D753" s="1"/>
    </row>
    <row r="754" spans="1:4" ht="14.25" customHeight="1" x14ac:dyDescent="0.3">
      <c r="A754" s="1"/>
      <c r="D754" s="1"/>
    </row>
    <row r="755" spans="1:4" ht="14.25" customHeight="1" x14ac:dyDescent="0.3">
      <c r="A755" s="1"/>
      <c r="D755" s="1"/>
    </row>
    <row r="756" spans="1:4" ht="14.25" customHeight="1" x14ac:dyDescent="0.3">
      <c r="A756" s="1"/>
      <c r="D756" s="1"/>
    </row>
    <row r="757" spans="1:4" ht="14.25" customHeight="1" x14ac:dyDescent="0.3">
      <c r="A757" s="1"/>
      <c r="D757" s="1"/>
    </row>
    <row r="758" spans="1:4" ht="14.25" customHeight="1" x14ac:dyDescent="0.3">
      <c r="A758" s="1"/>
      <c r="D758" s="1"/>
    </row>
    <row r="759" spans="1:4" ht="14.25" customHeight="1" x14ac:dyDescent="0.3">
      <c r="A759" s="1"/>
      <c r="D759" s="1"/>
    </row>
    <row r="760" spans="1:4" ht="14.25" customHeight="1" x14ac:dyDescent="0.3">
      <c r="A760" s="1"/>
      <c r="D760" s="1"/>
    </row>
    <row r="761" spans="1:4" ht="14.25" customHeight="1" x14ac:dyDescent="0.3">
      <c r="A761" s="1"/>
      <c r="D761" s="1"/>
    </row>
    <row r="762" spans="1:4" ht="14.25" customHeight="1" x14ac:dyDescent="0.3">
      <c r="A762" s="1"/>
      <c r="D762" s="1"/>
    </row>
    <row r="763" spans="1:4" ht="14.25" customHeight="1" x14ac:dyDescent="0.3">
      <c r="A763" s="1"/>
      <c r="D763" s="1"/>
    </row>
    <row r="764" spans="1:4" ht="14.25" customHeight="1" x14ac:dyDescent="0.3">
      <c r="A764" s="1"/>
      <c r="D764" s="1"/>
    </row>
    <row r="765" spans="1:4" ht="14.25" customHeight="1" x14ac:dyDescent="0.3">
      <c r="A765" s="1"/>
      <c r="D765" s="1"/>
    </row>
    <row r="766" spans="1:4" ht="14.25" customHeight="1" x14ac:dyDescent="0.3">
      <c r="A766" s="1"/>
      <c r="D766" s="1"/>
    </row>
    <row r="767" spans="1:4" ht="14.25" customHeight="1" x14ac:dyDescent="0.3">
      <c r="A767" s="1"/>
      <c r="D767" s="1"/>
    </row>
    <row r="768" spans="1:4" ht="14.25" customHeight="1" x14ac:dyDescent="0.3">
      <c r="A768" s="1"/>
      <c r="D768" s="1"/>
    </row>
    <row r="769" spans="1:4" ht="14.25" customHeight="1" x14ac:dyDescent="0.3">
      <c r="A769" s="1"/>
      <c r="D769" s="1"/>
    </row>
    <row r="770" spans="1:4" ht="14.25" customHeight="1" x14ac:dyDescent="0.3">
      <c r="A770" s="1"/>
      <c r="D770" s="1"/>
    </row>
    <row r="771" spans="1:4" ht="14.25" customHeight="1" x14ac:dyDescent="0.3">
      <c r="A771" s="1"/>
      <c r="D771" s="1"/>
    </row>
    <row r="772" spans="1:4" ht="14.25" customHeight="1" x14ac:dyDescent="0.3">
      <c r="A772" s="1"/>
      <c r="D772" s="1"/>
    </row>
    <row r="773" spans="1:4" ht="14.25" customHeight="1" x14ac:dyDescent="0.3">
      <c r="A773" s="1"/>
      <c r="D773" s="1"/>
    </row>
    <row r="774" spans="1:4" ht="14.25" customHeight="1" x14ac:dyDescent="0.3">
      <c r="A774" s="1"/>
      <c r="D774" s="1"/>
    </row>
    <row r="775" spans="1:4" ht="14.25" customHeight="1" x14ac:dyDescent="0.3">
      <c r="A775" s="1"/>
      <c r="D775" s="1"/>
    </row>
    <row r="776" spans="1:4" ht="14.25" customHeight="1" x14ac:dyDescent="0.3">
      <c r="A776" s="1"/>
      <c r="D776" s="1"/>
    </row>
    <row r="777" spans="1:4" ht="14.25" customHeight="1" x14ac:dyDescent="0.3">
      <c r="A777" s="1"/>
      <c r="D777" s="1"/>
    </row>
    <row r="778" spans="1:4" ht="14.25" customHeight="1" x14ac:dyDescent="0.3">
      <c r="A778" s="1"/>
      <c r="D778" s="1"/>
    </row>
    <row r="779" spans="1:4" ht="14.25" customHeight="1" x14ac:dyDescent="0.3">
      <c r="A779" s="1"/>
      <c r="D779" s="1"/>
    </row>
    <row r="780" spans="1:4" ht="14.25" customHeight="1" x14ac:dyDescent="0.3">
      <c r="A780" s="1"/>
      <c r="D780" s="1"/>
    </row>
    <row r="781" spans="1:4" ht="14.25" customHeight="1" x14ac:dyDescent="0.3">
      <c r="A781" s="1"/>
      <c r="D781" s="1"/>
    </row>
    <row r="782" spans="1:4" ht="14.25" customHeight="1" x14ac:dyDescent="0.3">
      <c r="A782" s="1"/>
      <c r="D782" s="1"/>
    </row>
    <row r="783" spans="1:4" ht="14.25" customHeight="1" x14ac:dyDescent="0.3">
      <c r="A783" s="1"/>
      <c r="D783" s="1"/>
    </row>
    <row r="784" spans="1:4" ht="14.25" customHeight="1" x14ac:dyDescent="0.3">
      <c r="A784" s="1"/>
      <c r="D784" s="1"/>
    </row>
    <row r="785" spans="1:4" ht="14.25" customHeight="1" x14ac:dyDescent="0.3">
      <c r="A785" s="1"/>
      <c r="D785" s="1"/>
    </row>
    <row r="786" spans="1:4" ht="14.25" customHeight="1" x14ac:dyDescent="0.3">
      <c r="A786" s="1"/>
      <c r="D786" s="1"/>
    </row>
    <row r="787" spans="1:4" ht="14.25" customHeight="1" x14ac:dyDescent="0.3">
      <c r="A787" s="1"/>
      <c r="D787" s="1"/>
    </row>
    <row r="788" spans="1:4" ht="14.25" customHeight="1" x14ac:dyDescent="0.3">
      <c r="A788" s="1"/>
      <c r="D788" s="1"/>
    </row>
    <row r="789" spans="1:4" ht="14.25" customHeight="1" x14ac:dyDescent="0.3">
      <c r="A789" s="1"/>
      <c r="D789" s="1"/>
    </row>
    <row r="790" spans="1:4" ht="14.25" customHeight="1" x14ac:dyDescent="0.3">
      <c r="A790" s="1"/>
      <c r="D790" s="1"/>
    </row>
    <row r="791" spans="1:4" ht="14.25" customHeight="1" x14ac:dyDescent="0.3">
      <c r="A791" s="1"/>
      <c r="D791" s="1"/>
    </row>
    <row r="792" spans="1:4" ht="14.25" customHeight="1" x14ac:dyDescent="0.3">
      <c r="A792" s="1"/>
      <c r="D792" s="1"/>
    </row>
    <row r="793" spans="1:4" ht="14.25" customHeight="1" x14ac:dyDescent="0.3">
      <c r="A793" s="1"/>
      <c r="D793" s="1"/>
    </row>
    <row r="794" spans="1:4" ht="14.25" customHeight="1" x14ac:dyDescent="0.3">
      <c r="A794" s="1"/>
      <c r="D794" s="1"/>
    </row>
    <row r="795" spans="1:4" ht="14.25" customHeight="1" x14ac:dyDescent="0.3">
      <c r="A795" s="1"/>
      <c r="D795" s="1"/>
    </row>
    <row r="796" spans="1:4" ht="14.25" customHeight="1" x14ac:dyDescent="0.3">
      <c r="A796" s="1"/>
      <c r="D796" s="1"/>
    </row>
    <row r="797" spans="1:4" ht="14.25" customHeight="1" x14ac:dyDescent="0.3">
      <c r="A797" s="1"/>
      <c r="D797" s="1"/>
    </row>
    <row r="798" spans="1:4" ht="14.25" customHeight="1" x14ac:dyDescent="0.3">
      <c r="A798" s="1"/>
      <c r="D798" s="1"/>
    </row>
    <row r="799" spans="1:4" ht="14.25" customHeight="1" x14ac:dyDescent="0.3">
      <c r="A799" s="1"/>
      <c r="D799" s="1"/>
    </row>
    <row r="800" spans="1:4" ht="14.25" customHeight="1" x14ac:dyDescent="0.3">
      <c r="A800" s="1"/>
      <c r="D800" s="1"/>
    </row>
    <row r="801" spans="1:4" ht="14.25" customHeight="1" x14ac:dyDescent="0.3">
      <c r="A801" s="1"/>
      <c r="D801" s="1"/>
    </row>
    <row r="802" spans="1:4" ht="14.25" customHeight="1" x14ac:dyDescent="0.3">
      <c r="A802" s="1"/>
      <c r="D802" s="1"/>
    </row>
    <row r="803" spans="1:4" ht="14.25" customHeight="1" x14ac:dyDescent="0.3">
      <c r="A803" s="1"/>
      <c r="D803" s="1"/>
    </row>
    <row r="804" spans="1:4" ht="14.25" customHeight="1" x14ac:dyDescent="0.3">
      <c r="A804" s="1"/>
      <c r="D804" s="1"/>
    </row>
    <row r="805" spans="1:4" ht="14.25" customHeight="1" x14ac:dyDescent="0.3">
      <c r="A805" s="1"/>
      <c r="D805" s="1"/>
    </row>
    <row r="806" spans="1:4" ht="14.25" customHeight="1" x14ac:dyDescent="0.3">
      <c r="A806" s="1"/>
      <c r="D806" s="1"/>
    </row>
    <row r="807" spans="1:4" ht="14.25" customHeight="1" x14ac:dyDescent="0.3">
      <c r="A807" s="1"/>
      <c r="D807" s="1"/>
    </row>
    <row r="808" spans="1:4" ht="14.25" customHeight="1" x14ac:dyDescent="0.3">
      <c r="A808" s="1"/>
      <c r="D808" s="1"/>
    </row>
    <row r="809" spans="1:4" ht="14.25" customHeight="1" x14ac:dyDescent="0.3">
      <c r="A809" s="1"/>
      <c r="D809" s="1"/>
    </row>
    <row r="810" spans="1:4" ht="14.25" customHeight="1" x14ac:dyDescent="0.3">
      <c r="A810" s="1"/>
      <c r="D810" s="1"/>
    </row>
    <row r="811" spans="1:4" ht="14.25" customHeight="1" x14ac:dyDescent="0.3">
      <c r="A811" s="1"/>
      <c r="D811" s="1"/>
    </row>
    <row r="812" spans="1:4" ht="14.25" customHeight="1" x14ac:dyDescent="0.3">
      <c r="A812" s="1"/>
      <c r="D812" s="1"/>
    </row>
    <row r="813" spans="1:4" ht="14.25" customHeight="1" x14ac:dyDescent="0.3">
      <c r="A813" s="1"/>
      <c r="D813" s="1"/>
    </row>
    <row r="814" spans="1:4" ht="14.25" customHeight="1" x14ac:dyDescent="0.3">
      <c r="A814" s="1"/>
      <c r="D814" s="1"/>
    </row>
    <row r="815" spans="1:4" ht="14.25" customHeight="1" x14ac:dyDescent="0.3">
      <c r="A815" s="1"/>
      <c r="D815" s="1"/>
    </row>
    <row r="816" spans="1:4" ht="14.25" customHeight="1" x14ac:dyDescent="0.3">
      <c r="A816" s="1"/>
      <c r="D816" s="1"/>
    </row>
    <row r="817" spans="1:4" ht="14.25" customHeight="1" x14ac:dyDescent="0.3">
      <c r="A817" s="1"/>
      <c r="D817" s="1"/>
    </row>
    <row r="818" spans="1:4" ht="14.25" customHeight="1" x14ac:dyDescent="0.3">
      <c r="A818" s="1"/>
      <c r="D818" s="1"/>
    </row>
    <row r="819" spans="1:4" ht="14.25" customHeight="1" x14ac:dyDescent="0.3">
      <c r="A819" s="1"/>
      <c r="D819" s="1"/>
    </row>
    <row r="820" spans="1:4" ht="14.25" customHeight="1" x14ac:dyDescent="0.3">
      <c r="A820" s="1"/>
      <c r="D820" s="1"/>
    </row>
    <row r="821" spans="1:4" ht="14.25" customHeight="1" x14ac:dyDescent="0.3">
      <c r="A821" s="1"/>
      <c r="D821" s="1"/>
    </row>
    <row r="822" spans="1:4" ht="14.25" customHeight="1" x14ac:dyDescent="0.3">
      <c r="A822" s="1"/>
      <c r="D822" s="1"/>
    </row>
    <row r="823" spans="1:4" ht="14.25" customHeight="1" x14ac:dyDescent="0.3">
      <c r="A823" s="1"/>
      <c r="D823" s="1"/>
    </row>
    <row r="824" spans="1:4" ht="14.25" customHeight="1" x14ac:dyDescent="0.3">
      <c r="A824" s="1"/>
      <c r="D824" s="1"/>
    </row>
    <row r="825" spans="1:4" ht="14.25" customHeight="1" x14ac:dyDescent="0.3">
      <c r="A825" s="1"/>
      <c r="D825" s="1"/>
    </row>
    <row r="826" spans="1:4" ht="14.25" customHeight="1" x14ac:dyDescent="0.3">
      <c r="A826" s="1"/>
      <c r="D826" s="1"/>
    </row>
    <row r="827" spans="1:4" ht="14.25" customHeight="1" x14ac:dyDescent="0.3">
      <c r="A827" s="1"/>
      <c r="D827" s="1"/>
    </row>
    <row r="828" spans="1:4" ht="14.25" customHeight="1" x14ac:dyDescent="0.3">
      <c r="A828" s="1"/>
      <c r="D828" s="1"/>
    </row>
    <row r="829" spans="1:4" ht="14.25" customHeight="1" x14ac:dyDescent="0.3">
      <c r="A829" s="1"/>
      <c r="D829" s="1"/>
    </row>
    <row r="830" spans="1:4" ht="14.25" customHeight="1" x14ac:dyDescent="0.3">
      <c r="A830" s="1"/>
      <c r="D830" s="1"/>
    </row>
    <row r="831" spans="1:4" ht="14.25" customHeight="1" x14ac:dyDescent="0.3">
      <c r="A831" s="1"/>
      <c r="D831" s="1"/>
    </row>
    <row r="832" spans="1:4" ht="14.25" customHeight="1" x14ac:dyDescent="0.3">
      <c r="A832" s="1"/>
      <c r="D832" s="1"/>
    </row>
    <row r="833" spans="1:4" ht="14.25" customHeight="1" x14ac:dyDescent="0.3">
      <c r="A833" s="1"/>
      <c r="D833" s="1"/>
    </row>
    <row r="834" spans="1:4" ht="14.25" customHeight="1" x14ac:dyDescent="0.3">
      <c r="A834" s="1"/>
      <c r="D834" s="1"/>
    </row>
    <row r="835" spans="1:4" ht="14.25" customHeight="1" x14ac:dyDescent="0.3">
      <c r="A835" s="1"/>
      <c r="D835" s="1"/>
    </row>
    <row r="836" spans="1:4" ht="14.25" customHeight="1" x14ac:dyDescent="0.3">
      <c r="A836" s="1"/>
      <c r="D836" s="1"/>
    </row>
    <row r="837" spans="1:4" ht="14.25" customHeight="1" x14ac:dyDescent="0.3">
      <c r="A837" s="1"/>
      <c r="D837" s="1"/>
    </row>
    <row r="838" spans="1:4" ht="14.25" customHeight="1" x14ac:dyDescent="0.3">
      <c r="A838" s="1"/>
      <c r="D838" s="1"/>
    </row>
    <row r="839" spans="1:4" ht="14.25" customHeight="1" x14ac:dyDescent="0.3">
      <c r="A839" s="1"/>
      <c r="D839" s="1"/>
    </row>
    <row r="840" spans="1:4" ht="14.25" customHeight="1" x14ac:dyDescent="0.3">
      <c r="A840" s="1"/>
      <c r="D840" s="1"/>
    </row>
    <row r="841" spans="1:4" ht="14.25" customHeight="1" x14ac:dyDescent="0.3">
      <c r="A841" s="1"/>
      <c r="D841" s="1"/>
    </row>
    <row r="842" spans="1:4" ht="14.25" customHeight="1" x14ac:dyDescent="0.3">
      <c r="A842" s="1"/>
      <c r="D842" s="1"/>
    </row>
    <row r="843" spans="1:4" ht="14.25" customHeight="1" x14ac:dyDescent="0.3">
      <c r="A843" s="1"/>
      <c r="D843" s="1"/>
    </row>
    <row r="844" spans="1:4" ht="14.25" customHeight="1" x14ac:dyDescent="0.3">
      <c r="A844" s="1"/>
      <c r="D844" s="1"/>
    </row>
    <row r="845" spans="1:4" ht="14.25" customHeight="1" x14ac:dyDescent="0.3">
      <c r="A845" s="1"/>
      <c r="D845" s="1"/>
    </row>
    <row r="846" spans="1:4" ht="14.25" customHeight="1" x14ac:dyDescent="0.3">
      <c r="A846" s="1"/>
      <c r="D846" s="1"/>
    </row>
    <row r="847" spans="1:4" ht="14.25" customHeight="1" x14ac:dyDescent="0.3">
      <c r="A847" s="1"/>
      <c r="D847" s="1"/>
    </row>
    <row r="848" spans="1:4" ht="14.25" customHeight="1" x14ac:dyDescent="0.3">
      <c r="A848" s="1"/>
      <c r="D848" s="1"/>
    </row>
    <row r="849" spans="1:4" ht="14.25" customHeight="1" x14ac:dyDescent="0.3">
      <c r="A849" s="1"/>
      <c r="D849" s="1"/>
    </row>
    <row r="850" spans="1:4" ht="14.25" customHeight="1" x14ac:dyDescent="0.3">
      <c r="A850" s="1"/>
      <c r="D850" s="1"/>
    </row>
    <row r="851" spans="1:4" ht="14.25" customHeight="1" x14ac:dyDescent="0.3">
      <c r="A851" s="1"/>
      <c r="D851" s="1"/>
    </row>
    <row r="852" spans="1:4" ht="14.25" customHeight="1" x14ac:dyDescent="0.3">
      <c r="A852" s="1"/>
      <c r="D852" s="1"/>
    </row>
    <row r="853" spans="1:4" ht="14.25" customHeight="1" x14ac:dyDescent="0.3">
      <c r="A853" s="1"/>
      <c r="D853" s="1"/>
    </row>
    <row r="854" spans="1:4" ht="14.25" customHeight="1" x14ac:dyDescent="0.3">
      <c r="A854" s="1"/>
      <c r="D854" s="1"/>
    </row>
    <row r="855" spans="1:4" ht="14.25" customHeight="1" x14ac:dyDescent="0.3">
      <c r="A855" s="1"/>
      <c r="D855" s="1"/>
    </row>
    <row r="856" spans="1:4" ht="14.25" customHeight="1" x14ac:dyDescent="0.3">
      <c r="A856" s="1"/>
      <c r="D856" s="1"/>
    </row>
    <row r="857" spans="1:4" ht="14.25" customHeight="1" x14ac:dyDescent="0.3">
      <c r="A857" s="1"/>
      <c r="D857" s="1"/>
    </row>
    <row r="858" spans="1:4" ht="14.25" customHeight="1" x14ac:dyDescent="0.3">
      <c r="A858" s="1"/>
      <c r="D858" s="1"/>
    </row>
    <row r="859" spans="1:4" ht="14.25" customHeight="1" x14ac:dyDescent="0.3">
      <c r="A859" s="1"/>
      <c r="D859" s="1"/>
    </row>
    <row r="860" spans="1:4" ht="14.25" customHeight="1" x14ac:dyDescent="0.3">
      <c r="A860" s="1"/>
      <c r="D860" s="1"/>
    </row>
    <row r="861" spans="1:4" ht="14.25" customHeight="1" x14ac:dyDescent="0.3">
      <c r="A861" s="1"/>
      <c r="D861" s="1"/>
    </row>
    <row r="862" spans="1:4" ht="14.25" customHeight="1" x14ac:dyDescent="0.3">
      <c r="A862" s="1"/>
      <c r="D862" s="1"/>
    </row>
    <row r="863" spans="1:4" ht="14.25" customHeight="1" x14ac:dyDescent="0.3">
      <c r="A863" s="1"/>
      <c r="D863" s="1"/>
    </row>
    <row r="864" spans="1:4" ht="14.25" customHeight="1" x14ac:dyDescent="0.3">
      <c r="A864" s="1"/>
      <c r="D864" s="1"/>
    </row>
    <row r="865" spans="1:4" ht="14.25" customHeight="1" x14ac:dyDescent="0.3">
      <c r="A865" s="1"/>
      <c r="D865" s="1"/>
    </row>
    <row r="866" spans="1:4" ht="14.25" customHeight="1" x14ac:dyDescent="0.3">
      <c r="A866" s="1"/>
      <c r="D866" s="1"/>
    </row>
    <row r="867" spans="1:4" ht="14.25" customHeight="1" x14ac:dyDescent="0.3">
      <c r="A867" s="1"/>
      <c r="D867" s="1"/>
    </row>
    <row r="868" spans="1:4" ht="14.25" customHeight="1" x14ac:dyDescent="0.3">
      <c r="A868" s="1"/>
      <c r="D868" s="1"/>
    </row>
    <row r="869" spans="1:4" ht="14.25" customHeight="1" x14ac:dyDescent="0.3">
      <c r="A869" s="1"/>
      <c r="D869" s="1"/>
    </row>
    <row r="870" spans="1:4" ht="14.25" customHeight="1" x14ac:dyDescent="0.3">
      <c r="A870" s="1"/>
      <c r="D870" s="1"/>
    </row>
    <row r="871" spans="1:4" ht="14.25" customHeight="1" x14ac:dyDescent="0.3">
      <c r="A871" s="1"/>
      <c r="D871" s="1"/>
    </row>
    <row r="872" spans="1:4" ht="14.25" customHeight="1" x14ac:dyDescent="0.3">
      <c r="A872" s="1"/>
      <c r="D872" s="1"/>
    </row>
    <row r="873" spans="1:4" ht="14.25" customHeight="1" x14ac:dyDescent="0.3">
      <c r="A873" s="1"/>
      <c r="D873" s="1"/>
    </row>
    <row r="874" spans="1:4" ht="14.25" customHeight="1" x14ac:dyDescent="0.3">
      <c r="A874" s="1"/>
      <c r="D874" s="1"/>
    </row>
    <row r="875" spans="1:4" ht="14.25" customHeight="1" x14ac:dyDescent="0.3">
      <c r="A875" s="1"/>
      <c r="D875" s="1"/>
    </row>
    <row r="876" spans="1:4" ht="14.25" customHeight="1" x14ac:dyDescent="0.3">
      <c r="A876" s="1"/>
      <c r="D876" s="1"/>
    </row>
    <row r="877" spans="1:4" ht="14.25" customHeight="1" x14ac:dyDescent="0.3">
      <c r="A877" s="1"/>
      <c r="D877" s="1"/>
    </row>
    <row r="878" spans="1:4" ht="14.25" customHeight="1" x14ac:dyDescent="0.3">
      <c r="A878" s="1"/>
      <c r="D878" s="1"/>
    </row>
    <row r="879" spans="1:4" ht="14.25" customHeight="1" x14ac:dyDescent="0.3">
      <c r="A879" s="1"/>
      <c r="D879" s="1"/>
    </row>
    <row r="880" spans="1:4" ht="14.25" customHeight="1" x14ac:dyDescent="0.3">
      <c r="A880" s="1"/>
      <c r="D880" s="1"/>
    </row>
    <row r="881" spans="1:4" ht="14.25" customHeight="1" x14ac:dyDescent="0.3">
      <c r="A881" s="1"/>
      <c r="D881" s="1"/>
    </row>
    <row r="882" spans="1:4" ht="14.25" customHeight="1" x14ac:dyDescent="0.3">
      <c r="A882" s="1"/>
      <c r="D882" s="1"/>
    </row>
    <row r="883" spans="1:4" ht="14.25" customHeight="1" x14ac:dyDescent="0.3">
      <c r="A883" s="1"/>
      <c r="D883" s="1"/>
    </row>
    <row r="884" spans="1:4" ht="14.25" customHeight="1" x14ac:dyDescent="0.3">
      <c r="A884" s="1"/>
      <c r="D884" s="1"/>
    </row>
    <row r="885" spans="1:4" ht="14.25" customHeight="1" x14ac:dyDescent="0.3">
      <c r="A885" s="1"/>
      <c r="D885" s="1"/>
    </row>
    <row r="886" spans="1:4" ht="14.25" customHeight="1" x14ac:dyDescent="0.3">
      <c r="A886" s="1"/>
      <c r="D886" s="1"/>
    </row>
    <row r="887" spans="1:4" ht="14.25" customHeight="1" x14ac:dyDescent="0.3">
      <c r="A887" s="1"/>
      <c r="D887" s="1"/>
    </row>
    <row r="888" spans="1:4" ht="14.25" customHeight="1" x14ac:dyDescent="0.3">
      <c r="A888" s="1"/>
      <c r="D888" s="1"/>
    </row>
    <row r="889" spans="1:4" ht="14.25" customHeight="1" x14ac:dyDescent="0.3">
      <c r="A889" s="1"/>
      <c r="D889" s="1"/>
    </row>
    <row r="890" spans="1:4" ht="14.25" customHeight="1" x14ac:dyDescent="0.3">
      <c r="A890" s="1"/>
      <c r="D890" s="1"/>
    </row>
    <row r="891" spans="1:4" ht="14.25" customHeight="1" x14ac:dyDescent="0.3">
      <c r="A891" s="1"/>
      <c r="D891" s="1"/>
    </row>
    <row r="892" spans="1:4" ht="14.25" customHeight="1" x14ac:dyDescent="0.3">
      <c r="A892" s="1"/>
      <c r="D892" s="1"/>
    </row>
    <row r="893" spans="1:4" ht="14.25" customHeight="1" x14ac:dyDescent="0.3">
      <c r="A893" s="1"/>
      <c r="D893" s="1"/>
    </row>
    <row r="894" spans="1:4" ht="14.25" customHeight="1" x14ac:dyDescent="0.3">
      <c r="A894" s="1"/>
      <c r="D894" s="1"/>
    </row>
    <row r="895" spans="1:4" ht="14.25" customHeight="1" x14ac:dyDescent="0.3">
      <c r="A895" s="1"/>
      <c r="D895" s="1"/>
    </row>
    <row r="896" spans="1:4" ht="14.25" customHeight="1" x14ac:dyDescent="0.3">
      <c r="A896" s="1"/>
      <c r="D896" s="1"/>
    </row>
    <row r="897" spans="1:4" ht="14.25" customHeight="1" x14ac:dyDescent="0.3">
      <c r="A897" s="1"/>
      <c r="D897" s="1"/>
    </row>
    <row r="898" spans="1:4" ht="14.25" customHeight="1" x14ac:dyDescent="0.3">
      <c r="A898" s="1"/>
      <c r="D898" s="1"/>
    </row>
    <row r="899" spans="1:4" ht="14.25" customHeight="1" x14ac:dyDescent="0.3">
      <c r="A899" s="1"/>
      <c r="D899" s="1"/>
    </row>
    <row r="900" spans="1:4" ht="14.25" customHeight="1" x14ac:dyDescent="0.3">
      <c r="A900" s="1"/>
      <c r="D900" s="1"/>
    </row>
    <row r="901" spans="1:4" ht="14.25" customHeight="1" x14ac:dyDescent="0.3">
      <c r="A901" s="1"/>
      <c r="D901" s="1"/>
    </row>
    <row r="902" spans="1:4" ht="14.25" customHeight="1" x14ac:dyDescent="0.3">
      <c r="A902" s="1"/>
      <c r="D902" s="1"/>
    </row>
    <row r="903" spans="1:4" ht="14.25" customHeight="1" x14ac:dyDescent="0.3">
      <c r="A903" s="1"/>
      <c r="D903" s="1"/>
    </row>
    <row r="904" spans="1:4" ht="14.25" customHeight="1" x14ac:dyDescent="0.3">
      <c r="A904" s="1"/>
      <c r="D904" s="1"/>
    </row>
    <row r="905" spans="1:4" ht="14.25" customHeight="1" x14ac:dyDescent="0.3">
      <c r="A905" s="1"/>
      <c r="D905" s="1"/>
    </row>
    <row r="906" spans="1:4" ht="14.25" customHeight="1" x14ac:dyDescent="0.3">
      <c r="A906" s="1"/>
      <c r="D906" s="1"/>
    </row>
    <row r="907" spans="1:4" ht="14.25" customHeight="1" x14ac:dyDescent="0.3">
      <c r="A907" s="1"/>
      <c r="D907" s="1"/>
    </row>
    <row r="908" spans="1:4" ht="14.25" customHeight="1" x14ac:dyDescent="0.3">
      <c r="A908" s="1"/>
      <c r="D908" s="1"/>
    </row>
    <row r="909" spans="1:4" ht="14.25" customHeight="1" x14ac:dyDescent="0.3">
      <c r="A909" s="1"/>
      <c r="D909" s="1"/>
    </row>
    <row r="910" spans="1:4" ht="14.25" customHeight="1" x14ac:dyDescent="0.3">
      <c r="A910" s="1"/>
      <c r="D910" s="1"/>
    </row>
    <row r="911" spans="1:4" ht="14.25" customHeight="1" x14ac:dyDescent="0.3">
      <c r="A911" s="1"/>
      <c r="D911" s="1"/>
    </row>
    <row r="912" spans="1:4" ht="14.25" customHeight="1" x14ac:dyDescent="0.3">
      <c r="A912" s="1"/>
      <c r="D912" s="1"/>
    </row>
    <row r="913" spans="1:4" ht="14.25" customHeight="1" x14ac:dyDescent="0.3">
      <c r="A913" s="1"/>
      <c r="D913" s="1"/>
    </row>
    <row r="914" spans="1:4" ht="14.25" customHeight="1" x14ac:dyDescent="0.3">
      <c r="A914" s="1"/>
      <c r="D914" s="1"/>
    </row>
    <row r="915" spans="1:4" ht="14.25" customHeight="1" x14ac:dyDescent="0.3">
      <c r="A915" s="1"/>
      <c r="D915" s="1"/>
    </row>
    <row r="916" spans="1:4" ht="14.25" customHeight="1" x14ac:dyDescent="0.3">
      <c r="A916" s="1"/>
      <c r="D916" s="1"/>
    </row>
    <row r="917" spans="1:4" ht="14.25" customHeight="1" x14ac:dyDescent="0.3">
      <c r="A917" s="1"/>
      <c r="D917" s="1"/>
    </row>
    <row r="918" spans="1:4" ht="14.25" customHeight="1" x14ac:dyDescent="0.3">
      <c r="A918" s="1"/>
      <c r="D918" s="1"/>
    </row>
    <row r="919" spans="1:4" ht="14.25" customHeight="1" x14ac:dyDescent="0.3">
      <c r="A919" s="1"/>
      <c r="D919" s="1"/>
    </row>
    <row r="920" spans="1:4" ht="14.25" customHeight="1" x14ac:dyDescent="0.3">
      <c r="A920" s="1"/>
      <c r="D920" s="1"/>
    </row>
    <row r="921" spans="1:4" ht="14.25" customHeight="1" x14ac:dyDescent="0.3">
      <c r="A921" s="1"/>
      <c r="D921" s="1"/>
    </row>
    <row r="922" spans="1:4" ht="14.25" customHeight="1" x14ac:dyDescent="0.3">
      <c r="A922" s="1"/>
      <c r="D922" s="1"/>
    </row>
    <row r="923" spans="1:4" ht="14.25" customHeight="1" x14ac:dyDescent="0.3">
      <c r="A923" s="1"/>
      <c r="D923" s="1"/>
    </row>
    <row r="924" spans="1:4" ht="14.25" customHeight="1" x14ac:dyDescent="0.3">
      <c r="A924" s="1"/>
      <c r="D924" s="1"/>
    </row>
    <row r="925" spans="1:4" ht="14.25" customHeight="1" x14ac:dyDescent="0.3">
      <c r="A925" s="1"/>
      <c r="D925" s="1"/>
    </row>
    <row r="926" spans="1:4" ht="14.25" customHeight="1" x14ac:dyDescent="0.3">
      <c r="A926" s="1"/>
      <c r="D926" s="1"/>
    </row>
    <row r="927" spans="1:4" ht="14.25" customHeight="1" x14ac:dyDescent="0.3">
      <c r="A927" s="1"/>
      <c r="D927" s="1"/>
    </row>
    <row r="928" spans="1:4" ht="14.25" customHeight="1" x14ac:dyDescent="0.3">
      <c r="A928" s="1"/>
      <c r="D928" s="1"/>
    </row>
    <row r="929" spans="1:4" ht="14.25" customHeight="1" x14ac:dyDescent="0.3">
      <c r="A929" s="1"/>
      <c r="D929" s="1"/>
    </row>
    <row r="930" spans="1:4" ht="14.25" customHeight="1" x14ac:dyDescent="0.3">
      <c r="A930" s="1"/>
      <c r="D930" s="1"/>
    </row>
    <row r="931" spans="1:4" ht="14.25" customHeight="1" x14ac:dyDescent="0.3">
      <c r="A931" s="1"/>
      <c r="D931" s="1"/>
    </row>
    <row r="932" spans="1:4" ht="14.25" customHeight="1" x14ac:dyDescent="0.3">
      <c r="A932" s="1"/>
      <c r="D932" s="1"/>
    </row>
    <row r="933" spans="1:4" ht="14.25" customHeight="1" x14ac:dyDescent="0.3">
      <c r="A933" s="1"/>
      <c r="D933" s="1"/>
    </row>
    <row r="934" spans="1:4" ht="14.25" customHeight="1" x14ac:dyDescent="0.3">
      <c r="A934" s="1"/>
      <c r="D934" s="1"/>
    </row>
    <row r="935" spans="1:4" ht="14.25" customHeight="1" x14ac:dyDescent="0.3">
      <c r="A935" s="1"/>
      <c r="D935" s="1"/>
    </row>
    <row r="936" spans="1:4" ht="14.25" customHeight="1" x14ac:dyDescent="0.3">
      <c r="A936" s="1"/>
      <c r="D936" s="1"/>
    </row>
    <row r="937" spans="1:4" ht="14.25" customHeight="1" x14ac:dyDescent="0.3">
      <c r="A937" s="1"/>
      <c r="D937" s="1"/>
    </row>
    <row r="938" spans="1:4" ht="14.25" customHeight="1" x14ac:dyDescent="0.3">
      <c r="A938" s="1"/>
      <c r="D938" s="1"/>
    </row>
    <row r="939" spans="1:4" ht="14.25" customHeight="1" x14ac:dyDescent="0.3">
      <c r="A939" s="1"/>
      <c r="D939" s="1"/>
    </row>
    <row r="940" spans="1:4" ht="14.25" customHeight="1" x14ac:dyDescent="0.3">
      <c r="A940" s="1"/>
      <c r="D940" s="1"/>
    </row>
    <row r="941" spans="1:4" ht="14.25" customHeight="1" x14ac:dyDescent="0.3">
      <c r="A941" s="1"/>
      <c r="D941" s="1"/>
    </row>
    <row r="942" spans="1:4" ht="14.25" customHeight="1" x14ac:dyDescent="0.3">
      <c r="A942" s="1"/>
      <c r="D942" s="1"/>
    </row>
    <row r="943" spans="1:4" ht="14.25" customHeight="1" x14ac:dyDescent="0.3">
      <c r="A943" s="1"/>
      <c r="D943" s="1"/>
    </row>
    <row r="944" spans="1:4" ht="14.25" customHeight="1" x14ac:dyDescent="0.3">
      <c r="A944" s="1"/>
      <c r="D944" s="1"/>
    </row>
    <row r="945" spans="1:4" ht="14.25" customHeight="1" x14ac:dyDescent="0.3">
      <c r="A945" s="1"/>
      <c r="D945" s="1"/>
    </row>
    <row r="946" spans="1:4" ht="14.25" customHeight="1" x14ac:dyDescent="0.3">
      <c r="A946" s="1"/>
      <c r="D946" s="1"/>
    </row>
    <row r="947" spans="1:4" ht="14.25" customHeight="1" x14ac:dyDescent="0.3">
      <c r="A947" s="1"/>
      <c r="D947" s="1"/>
    </row>
    <row r="948" spans="1:4" ht="14.25" customHeight="1" x14ac:dyDescent="0.3">
      <c r="A948" s="1"/>
      <c r="D948" s="1"/>
    </row>
    <row r="949" spans="1:4" ht="14.25" customHeight="1" x14ac:dyDescent="0.3">
      <c r="A949" s="1"/>
      <c r="D949" s="1"/>
    </row>
    <row r="950" spans="1:4" ht="14.25" customHeight="1" x14ac:dyDescent="0.3">
      <c r="A950" s="1"/>
      <c r="D950" s="1"/>
    </row>
    <row r="951" spans="1:4" ht="14.25" customHeight="1" x14ac:dyDescent="0.3">
      <c r="A951" s="1"/>
      <c r="D951" s="1"/>
    </row>
    <row r="952" spans="1:4" ht="14.25" customHeight="1" x14ac:dyDescent="0.3">
      <c r="A952" s="1"/>
      <c r="D952" s="1"/>
    </row>
    <row r="953" spans="1:4" ht="14.25" customHeight="1" x14ac:dyDescent="0.3">
      <c r="A953" s="1"/>
      <c r="D953" s="1"/>
    </row>
    <row r="954" spans="1:4" ht="14.25" customHeight="1" x14ac:dyDescent="0.3">
      <c r="A954" s="1"/>
      <c r="D954" s="1"/>
    </row>
    <row r="955" spans="1:4" ht="14.25" customHeight="1" x14ac:dyDescent="0.3">
      <c r="A955" s="1"/>
      <c r="D955" s="1"/>
    </row>
    <row r="956" spans="1:4" ht="14.25" customHeight="1" x14ac:dyDescent="0.3">
      <c r="A956" s="1"/>
      <c r="D956" s="1"/>
    </row>
    <row r="957" spans="1:4" ht="14.25" customHeight="1" x14ac:dyDescent="0.3">
      <c r="A957" s="1"/>
      <c r="D957" s="1"/>
    </row>
    <row r="958" spans="1:4" ht="14.25" customHeight="1" x14ac:dyDescent="0.3">
      <c r="A958" s="1"/>
      <c r="D958" s="1"/>
    </row>
    <row r="959" spans="1:4" ht="14.25" customHeight="1" x14ac:dyDescent="0.3">
      <c r="A959" s="1"/>
      <c r="D959" s="1"/>
    </row>
    <row r="960" spans="1:4" ht="14.25" customHeight="1" x14ac:dyDescent="0.3">
      <c r="A960" s="1"/>
      <c r="D960" s="1"/>
    </row>
    <row r="961" spans="1:4" ht="14.25" customHeight="1" x14ac:dyDescent="0.3">
      <c r="A961" s="1"/>
      <c r="D961" s="1"/>
    </row>
    <row r="962" spans="1:4" ht="14.25" customHeight="1" x14ac:dyDescent="0.3">
      <c r="A962" s="1"/>
      <c r="D962" s="1"/>
    </row>
    <row r="963" spans="1:4" ht="14.25" customHeight="1" x14ac:dyDescent="0.3">
      <c r="A963" s="1"/>
      <c r="D963" s="1"/>
    </row>
    <row r="964" spans="1:4" ht="14.25" customHeight="1" x14ac:dyDescent="0.3">
      <c r="A964" s="1"/>
      <c r="D964" s="1"/>
    </row>
    <row r="965" spans="1:4" ht="14.25" customHeight="1" x14ac:dyDescent="0.3">
      <c r="A965" s="1"/>
      <c r="D965" s="1"/>
    </row>
    <row r="966" spans="1:4" ht="14.25" customHeight="1" x14ac:dyDescent="0.3">
      <c r="A966" s="1"/>
      <c r="D966" s="1"/>
    </row>
    <row r="967" spans="1:4" ht="14.25" customHeight="1" x14ac:dyDescent="0.3">
      <c r="A967" s="1"/>
      <c r="D967" s="1"/>
    </row>
    <row r="968" spans="1:4" ht="14.25" customHeight="1" x14ac:dyDescent="0.3">
      <c r="A968" s="1"/>
      <c r="D968" s="1"/>
    </row>
    <row r="969" spans="1:4" ht="14.25" customHeight="1" x14ac:dyDescent="0.3">
      <c r="A969" s="1"/>
      <c r="D969" s="1"/>
    </row>
    <row r="970" spans="1:4" ht="14.25" customHeight="1" x14ac:dyDescent="0.3">
      <c r="A970" s="1"/>
      <c r="D970" s="1"/>
    </row>
    <row r="971" spans="1:4" ht="14.25" customHeight="1" x14ac:dyDescent="0.3">
      <c r="A971" s="1"/>
      <c r="D971" s="1"/>
    </row>
    <row r="972" spans="1:4" ht="14.25" customHeight="1" x14ac:dyDescent="0.3">
      <c r="A972" s="1"/>
      <c r="D972" s="1"/>
    </row>
    <row r="973" spans="1:4" ht="14.25" customHeight="1" x14ac:dyDescent="0.3">
      <c r="A973" s="1"/>
      <c r="D973" s="1"/>
    </row>
    <row r="974" spans="1:4" ht="14.25" customHeight="1" x14ac:dyDescent="0.3">
      <c r="A974" s="1"/>
      <c r="D974" s="1"/>
    </row>
    <row r="975" spans="1:4" ht="14.25" customHeight="1" x14ac:dyDescent="0.3">
      <c r="A975" s="1"/>
      <c r="D975" s="1"/>
    </row>
    <row r="976" spans="1:4" ht="14.25" customHeight="1" x14ac:dyDescent="0.3">
      <c r="A976" s="1"/>
      <c r="D976" s="1"/>
    </row>
    <row r="977" spans="1:4" ht="14.25" customHeight="1" x14ac:dyDescent="0.3">
      <c r="A977" s="1"/>
      <c r="D977" s="1"/>
    </row>
    <row r="978" spans="1:4" ht="14.25" customHeight="1" x14ac:dyDescent="0.3">
      <c r="A978" s="1"/>
      <c r="D978" s="1"/>
    </row>
    <row r="979" spans="1:4" ht="14.25" customHeight="1" x14ac:dyDescent="0.3">
      <c r="A979" s="1"/>
      <c r="D979" s="1"/>
    </row>
    <row r="980" spans="1:4" ht="14.25" customHeight="1" x14ac:dyDescent="0.3">
      <c r="A980" s="1"/>
      <c r="D980" s="1"/>
    </row>
    <row r="981" spans="1:4" ht="14.25" customHeight="1" x14ac:dyDescent="0.3">
      <c r="A981" s="1"/>
      <c r="D981" s="1"/>
    </row>
    <row r="982" spans="1:4" ht="14.25" customHeight="1" x14ac:dyDescent="0.3">
      <c r="A982" s="1"/>
      <c r="D982" s="1"/>
    </row>
    <row r="983" spans="1:4" ht="14.25" customHeight="1" x14ac:dyDescent="0.3">
      <c r="A983" s="1"/>
      <c r="D983" s="1"/>
    </row>
    <row r="984" spans="1:4" ht="14.25" customHeight="1" x14ac:dyDescent="0.3">
      <c r="A984" s="1"/>
      <c r="D984" s="1"/>
    </row>
    <row r="985" spans="1:4" ht="14.25" customHeight="1" x14ac:dyDescent="0.3">
      <c r="A985" s="1"/>
      <c r="D985" s="1"/>
    </row>
    <row r="986" spans="1:4" ht="14.25" customHeight="1" x14ac:dyDescent="0.3">
      <c r="A986" s="1"/>
      <c r="D986" s="1"/>
    </row>
    <row r="987" spans="1:4" ht="14.25" customHeight="1" x14ac:dyDescent="0.3">
      <c r="A987" s="1"/>
      <c r="D987" s="1"/>
    </row>
    <row r="988" spans="1:4" ht="14.25" customHeight="1" x14ac:dyDescent="0.3">
      <c r="A988" s="1"/>
      <c r="D988" s="1"/>
    </row>
    <row r="989" spans="1:4" ht="14.25" customHeight="1" x14ac:dyDescent="0.3">
      <c r="A989" s="1"/>
      <c r="D989" s="1"/>
    </row>
    <row r="990" spans="1:4" ht="14.25" customHeight="1" x14ac:dyDescent="0.3">
      <c r="A990" s="1"/>
      <c r="D990" s="1"/>
    </row>
    <row r="991" spans="1:4" ht="14.25" customHeight="1" x14ac:dyDescent="0.3">
      <c r="A991" s="1"/>
      <c r="D991" s="1"/>
    </row>
    <row r="992" spans="1:4" ht="14.25" customHeight="1" x14ac:dyDescent="0.3">
      <c r="A992" s="1"/>
      <c r="D992" s="1"/>
    </row>
    <row r="993" spans="1:4" ht="14.25" customHeight="1" x14ac:dyDescent="0.3">
      <c r="A993" s="1"/>
      <c r="D993" s="1"/>
    </row>
    <row r="994" spans="1:4" ht="14.25" customHeight="1" x14ac:dyDescent="0.3">
      <c r="A994" s="1"/>
      <c r="D994" s="1"/>
    </row>
    <row r="995" spans="1:4" ht="14.25" customHeight="1" x14ac:dyDescent="0.3">
      <c r="A995" s="1"/>
      <c r="D995" s="1"/>
    </row>
    <row r="996" spans="1:4" ht="14.25" customHeight="1" x14ac:dyDescent="0.3">
      <c r="A996" s="1"/>
      <c r="D996" s="1"/>
    </row>
    <row r="997" spans="1:4" ht="14.25" customHeight="1" x14ac:dyDescent="0.3">
      <c r="A997" s="1"/>
      <c r="D997" s="1"/>
    </row>
    <row r="998" spans="1:4" ht="14.25" customHeight="1" x14ac:dyDescent="0.3">
      <c r="A998" s="1"/>
      <c r="D998" s="1"/>
    </row>
    <row r="999" spans="1:4" ht="14.25" customHeight="1" x14ac:dyDescent="0.3">
      <c r="A999" s="1"/>
      <c r="D999" s="1"/>
    </row>
    <row r="1000" spans="1:4" ht="14.25" customHeight="1" x14ac:dyDescent="0.3">
      <c r="A1000" s="1"/>
      <c r="D1000" s="1"/>
    </row>
  </sheetData>
  <pageMargins left="0.7" right="0.7" top="0.75" bottom="0.75" header="0" footer="0"/>
  <pageSetup paperSize="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ENTITY_STATISTICS</vt:lpstr>
      <vt:lpstr>PREDICATE_STATISTICS</vt:lpstr>
      <vt:lpstr>ENTITY_STATISTICS!ExternalData_1</vt:lpstr>
      <vt:lpstr>ENTITY_STATISTICS!ExternalData_10</vt:lpstr>
      <vt:lpstr>ENTITY_STATISTICS!ExternalData_11</vt:lpstr>
      <vt:lpstr>ENTITY_STATISTICS!ExternalData_12</vt:lpstr>
      <vt:lpstr>ENTITY_STATISTICS!ExternalData_13</vt:lpstr>
      <vt:lpstr>ENTITY_STATISTICS!ExternalData_14</vt:lpstr>
      <vt:lpstr>ENTITY_STATISTICS!ExternalData_15</vt:lpstr>
      <vt:lpstr>ENTITY_STATISTICS!ExternalData_16</vt:lpstr>
      <vt:lpstr>ENTITY_STATISTICS!ExternalData_17</vt:lpstr>
      <vt:lpstr>ENTITY_STATISTICS!ExternalData_18</vt:lpstr>
      <vt:lpstr>ENTITY_STATISTICS!ExternalData_19</vt:lpstr>
      <vt:lpstr>ENTITY_STATISTICS!ExternalData_2</vt:lpstr>
      <vt:lpstr>ENTITY_STATISTICS!ExternalData_3</vt:lpstr>
      <vt:lpstr>ENTITY_STATISTICS!ExternalData_4</vt:lpstr>
      <vt:lpstr>ENTITY_STATISTICS!ExternalData_5</vt:lpstr>
      <vt:lpstr>ENTITY_STATISTICS!ExternalData_6</vt:lpstr>
      <vt:lpstr>ENTITY_STATISTICS!ExternalData_7</vt:lpstr>
      <vt:lpstr>ENTITY_STATISTICS!ExternalData_8</vt:lpstr>
      <vt:lpstr>ENTITY_STATISTICS!ExternalData_9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Apostolos Baniotis</dc:creator>
  <cp:lastModifiedBy>Απόστολος  Μπανιώτης</cp:lastModifiedBy>
  <dcterms:created xsi:type="dcterms:W3CDTF">2015-06-05T18:17:20Z</dcterms:created>
  <dcterms:modified xsi:type="dcterms:W3CDTF">2025-11-07T09:25:22Z</dcterms:modified>
</cp:coreProperties>
</file>